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artlein/Dropbox/WorkCurrent/globalT/MOTs/Shackleton/"/>
    </mc:Choice>
  </mc:AlternateContent>
  <xr:revisionPtr revIDLastSave="0" documentId="13_ncr:1_{5A97BAF1-32F4-924F-B8E1-689442254EAD}" xr6:coauthVersionLast="47" xr6:coauthVersionMax="47" xr10:uidLastSave="{00000000-0000-0000-0000-000000000000}"/>
  <bookViews>
    <workbookView xWindow="18420" yWindow="12440" windowWidth="26040" windowHeight="14680" xr2:uid="{CFF983A1-E343-5942-912D-75EE9E7A854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0" i="1" l="1"/>
  <c r="B17" i="1"/>
  <c r="B22" i="1"/>
  <c r="B45" i="1"/>
  <c r="B27" i="1"/>
  <c r="B25" i="1"/>
  <c r="B24" i="1"/>
  <c r="B36" i="1"/>
  <c r="B43" i="1"/>
  <c r="B48" i="1"/>
  <c r="B44" i="1"/>
  <c r="B47" i="1"/>
  <c r="B42" i="1"/>
  <c r="B41" i="1"/>
  <c r="B30" i="1"/>
  <c r="B46" i="1"/>
  <c r="B40" i="1"/>
  <c r="B31" i="1"/>
  <c r="B33" i="1"/>
  <c r="B35" i="1"/>
  <c r="B37" i="1"/>
  <c r="B29" i="1"/>
  <c r="B26" i="1"/>
  <c r="B18" i="1"/>
  <c r="B28" i="1"/>
  <c r="B21" i="1"/>
  <c r="B34" i="1"/>
  <c r="B49" i="1"/>
  <c r="B8" i="1"/>
  <c r="B12" i="1"/>
  <c r="B10" i="1"/>
  <c r="B6" i="1"/>
  <c r="B2" i="1"/>
  <c r="B11" i="1"/>
  <c r="B13" i="1"/>
  <c r="B14" i="1"/>
  <c r="B9" i="1"/>
  <c r="B4" i="1"/>
  <c r="B7" i="1"/>
  <c r="B3" i="1"/>
  <c r="B5" i="1"/>
  <c r="B15" i="1"/>
  <c r="B23" i="1"/>
  <c r="B19" i="1"/>
  <c r="B39" i="1"/>
  <c r="B32" i="1"/>
  <c r="B38" i="1"/>
  <c r="B16" i="1"/>
</calcChain>
</file>

<file path=xl/sharedStrings.xml><?xml version="1.0" encoding="utf-8"?>
<sst xmlns="http://schemas.openxmlformats.org/spreadsheetml/2006/main" count="57" uniqueCount="10">
  <si>
    <t>Snapshot</t>
  </si>
  <si>
    <t>'short'</t>
  </si>
  <si>
    <t>seqnum</t>
  </si>
  <si>
    <t>Age_ka</t>
  </si>
  <si>
    <t>AgeMa</t>
  </si>
  <si>
    <t>MOT_anomaly</t>
  </si>
  <si>
    <t>MOT_abs_err</t>
  </si>
  <si>
    <t>Rel_err_Myr</t>
  </si>
  <si>
    <t>Abs_err_Myr</t>
  </si>
  <si>
    <t>MOT_rel_err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</si>
</sst>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3" x14ac:knownFonts="1">
    <font>
      <sz val="12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/>
    <xf numFmtId="1" fontId="1" fillId="0" borderId="0" xfId="0" applyNumberFormat="1" applyFont="1" applyAlignment="1">
      <alignment horizontal="left"/>
    </xf>
    <xf numFmtId="1" fontId="2" fillId="0" borderId="0" xfId="0" applyNumberFormat="1" applyFont="1"/>
    <xf numFmtId="1" fontId="0" fillId="0" borderId="0" xfId="0" applyNumberFormat="1"/>
    <xf numFmtId="164" fontId="1" fillId="0" borderId="0" xfId="0" applyNumberFormat="1" applyFont="1" applyAlignment="1">
      <alignment horizontal="left"/>
    </xf>
    <xf numFmtId="164" fontId="2" fillId="0" borderId="0" xfId="0" applyNumberFormat="1" applyFont="1"/>
    <xf numFmtId="164" fontId="0" fillId="0" borderId="0" xfId="0" applyNumberFormat="1"/>
    <xf numFmtId="165" fontId="1" fillId="0" borderId="0" xfId="0" applyNumberFormat="1" applyFont="1" applyAlignment="1">
      <alignment horizontal="left"/>
    </xf>
    <xf numFmtId="165" fontId="2" fillId="0" borderId="0" xfId="0" applyNumberFormat="1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B4B04-A2D0-3843-AB11-204B61FC4C3E}">
  <dimension ref="A1:I49"/>
  <sheetViews>
    <sheetView tabSelected="1" workbookViewId="0">
      <pane ySplit="1" topLeftCell="A2" activePane="bottomLeft" state="frozen"/>
      <selection pane="bottomLeft" activeCell="J1" sqref="J1:J1048576"/>
    </sheetView>
  </sheetViews>
  <sheetFormatPr baseColWidth="10" defaultRowHeight="16" x14ac:dyDescent="0.2"/>
  <cols>
    <col min="1" max="1" width="10.83203125" style="8"/>
    <col min="2" max="7" width="10.83203125" style="11"/>
    <col min="9" max="9" width="10.83203125" style="5"/>
  </cols>
  <sheetData>
    <row r="1" spans="1:9" x14ac:dyDescent="0.2">
      <c r="A1" s="6" t="s">
        <v>3</v>
      </c>
      <c r="B1" s="9" t="s">
        <v>4</v>
      </c>
      <c r="C1" s="9" t="s">
        <v>7</v>
      </c>
      <c r="D1" s="9" t="s">
        <v>8</v>
      </c>
      <c r="E1" s="9" t="s">
        <v>5</v>
      </c>
      <c r="F1" s="9" t="s">
        <v>9</v>
      </c>
      <c r="G1" s="9" t="s">
        <v>6</v>
      </c>
      <c r="H1" s="1" t="s">
        <v>0</v>
      </c>
      <c r="I1" s="3" t="s">
        <v>2</v>
      </c>
    </row>
    <row r="2" spans="1:9" x14ac:dyDescent="0.2">
      <c r="A2" s="7">
        <v>-86.744419564863193</v>
      </c>
      <c r="B2" s="10">
        <f t="shared" ref="B2:B49" si="0">A2/1000</f>
        <v>-8.6744419564863187E-2</v>
      </c>
      <c r="C2" s="10">
        <v>6.2387518254981504E-2</v>
      </c>
      <c r="D2" s="10">
        <v>6.3112994108629999E-2</v>
      </c>
      <c r="E2" s="10">
        <v>-0.78028938275653803</v>
      </c>
      <c r="F2" s="10">
        <v>0.46979648978065602</v>
      </c>
      <c r="G2" s="10">
        <v>0.68608216841004255</v>
      </c>
      <c r="H2" s="2" t="s">
        <v>1</v>
      </c>
      <c r="I2" s="4">
        <v>112</v>
      </c>
    </row>
    <row r="3" spans="1:9" x14ac:dyDescent="0.2">
      <c r="A3" s="7">
        <v>54.144172592388301</v>
      </c>
      <c r="B3" s="10">
        <f t="shared" si="0"/>
        <v>5.4144172592388302E-2</v>
      </c>
      <c r="C3" s="10">
        <v>6.2387518254981504E-2</v>
      </c>
      <c r="D3" s="10">
        <v>6.2671163147549697E-2</v>
      </c>
      <c r="E3" s="10">
        <v>-2.67668883857419</v>
      </c>
      <c r="F3" s="10">
        <v>0.69493971430508295</v>
      </c>
      <c r="G3" s="10">
        <v>0.85611985522964618</v>
      </c>
      <c r="H3" s="2" t="s">
        <v>1</v>
      </c>
      <c r="I3" s="4">
        <v>119</v>
      </c>
    </row>
    <row r="4" spans="1:9" x14ac:dyDescent="0.2">
      <c r="A4" s="7">
        <v>63.3489559790738</v>
      </c>
      <c r="B4" s="10">
        <f t="shared" si="0"/>
        <v>6.3348955979073807E-2</v>
      </c>
      <c r="C4" s="10">
        <v>6.2387518254981504E-2</v>
      </c>
      <c r="D4" s="10">
        <v>6.2775479494159792E-2</v>
      </c>
      <c r="E4" s="10">
        <v>-2.4069876478157699</v>
      </c>
      <c r="F4" s="10">
        <v>0.65429218430761604</v>
      </c>
      <c r="G4" s="10">
        <v>0.82346722001912831</v>
      </c>
      <c r="H4" s="2" t="s">
        <v>1</v>
      </c>
      <c r="I4" s="4">
        <v>117</v>
      </c>
    </row>
    <row r="5" spans="1:9" x14ac:dyDescent="0.2">
      <c r="A5" s="7">
        <v>83.403338728626395</v>
      </c>
      <c r="B5" s="10">
        <f t="shared" si="0"/>
        <v>8.3403338728626389E-2</v>
      </c>
      <c r="C5" s="10">
        <v>6.2387518254981504E-2</v>
      </c>
      <c r="D5" s="10">
        <v>6.3058476421808202E-2</v>
      </c>
      <c r="E5" s="10">
        <v>-2.4530808898523002</v>
      </c>
      <c r="F5" s="10">
        <v>0.66110431481186505</v>
      </c>
      <c r="G5" s="10">
        <v>0.82889017068780924</v>
      </c>
      <c r="H5" s="2" t="s">
        <v>1</v>
      </c>
      <c r="I5" s="4">
        <v>120</v>
      </c>
    </row>
    <row r="6" spans="1:9" x14ac:dyDescent="0.2">
      <c r="A6" s="7">
        <v>83.749605753780401</v>
      </c>
      <c r="B6" s="10">
        <f t="shared" si="0"/>
        <v>8.3749605753780404E-2</v>
      </c>
      <c r="C6" s="10">
        <v>6.2387518254981504E-2</v>
      </c>
      <c r="D6" s="10">
        <v>6.3064029297445104E-2</v>
      </c>
      <c r="E6" s="10">
        <v>-0.34047881800347601</v>
      </c>
      <c r="F6" s="10">
        <v>0.44832099437443801</v>
      </c>
      <c r="G6" s="10">
        <v>0.67155916641565161</v>
      </c>
      <c r="H6" s="2" t="s">
        <v>1</v>
      </c>
      <c r="I6" s="4">
        <v>111</v>
      </c>
    </row>
    <row r="7" spans="1:9" x14ac:dyDescent="0.2">
      <c r="A7" s="7">
        <v>85.7043471225508</v>
      </c>
      <c r="B7" s="10">
        <f t="shared" si="0"/>
        <v>8.5704347122550803E-2</v>
      </c>
      <c r="C7" s="10">
        <v>6.1828991696401096E-2</v>
      </c>
      <c r="D7" s="10">
        <v>6.2543597266975601E-2</v>
      </c>
      <c r="E7" s="10">
        <v>-2.1425239463952499</v>
      </c>
      <c r="F7" s="10">
        <v>0.56293584589047496</v>
      </c>
      <c r="G7" s="10">
        <v>0.75292547213414462</v>
      </c>
      <c r="H7" s="2" t="s">
        <v>1</v>
      </c>
      <c r="I7" s="4">
        <v>118</v>
      </c>
    </row>
    <row r="8" spans="1:9" x14ac:dyDescent="0.2">
      <c r="A8" s="7">
        <v>107.040946013447</v>
      </c>
      <c r="B8" s="10">
        <f t="shared" si="0"/>
        <v>0.10704094601344699</v>
      </c>
      <c r="C8" s="10">
        <v>6.2387518254981504E-2</v>
      </c>
      <c r="D8" s="10">
        <v>6.3488907534383104E-2</v>
      </c>
      <c r="E8" s="10">
        <v>0.23296761521352</v>
      </c>
      <c r="F8" s="10">
        <v>0.44556215881294697</v>
      </c>
      <c r="G8" s="10">
        <v>0.66972056662913804</v>
      </c>
      <c r="H8" s="2" t="s">
        <v>1</v>
      </c>
      <c r="I8" s="4">
        <v>108</v>
      </c>
    </row>
    <row r="9" spans="1:9" x14ac:dyDescent="0.2">
      <c r="A9" s="7">
        <v>124.655893565385</v>
      </c>
      <c r="B9" s="10">
        <f t="shared" si="0"/>
        <v>0.12465589356538501</v>
      </c>
      <c r="C9" s="10">
        <v>6.1828991696401096E-2</v>
      </c>
      <c r="D9" s="10">
        <v>6.3331249987511801E-2</v>
      </c>
      <c r="E9" s="10">
        <v>-2.6150226607848399</v>
      </c>
      <c r="F9" s="10">
        <v>0.63781984353739796</v>
      </c>
      <c r="G9" s="10">
        <v>0.81044071517296734</v>
      </c>
      <c r="H9" s="2" t="s">
        <v>1</v>
      </c>
      <c r="I9" s="4">
        <v>116</v>
      </c>
    </row>
    <row r="10" spans="1:9" x14ac:dyDescent="0.2">
      <c r="A10" s="7">
        <v>133.87776152488499</v>
      </c>
      <c r="B10" s="10">
        <f t="shared" si="0"/>
        <v>0.13387776152488498</v>
      </c>
      <c r="C10" s="10">
        <v>6.2387518254981504E-2</v>
      </c>
      <c r="D10" s="10">
        <v>6.4102057844422702E-2</v>
      </c>
      <c r="E10" s="10">
        <v>-0.438123985242234</v>
      </c>
      <c r="F10" s="10">
        <v>0.45169988491730301</v>
      </c>
      <c r="G10" s="10">
        <v>0.67381955005350269</v>
      </c>
      <c r="H10" s="2" t="s">
        <v>1</v>
      </c>
      <c r="I10" s="4">
        <v>110</v>
      </c>
    </row>
    <row r="11" spans="1:9" x14ac:dyDescent="0.2">
      <c r="A11" s="7">
        <v>144.68214118434901</v>
      </c>
      <c r="B11" s="10">
        <f t="shared" si="0"/>
        <v>0.14468214118434899</v>
      </c>
      <c r="C11" s="10">
        <v>6.2387518254981504E-2</v>
      </c>
      <c r="D11" s="10">
        <v>6.4385485864018099E-2</v>
      </c>
      <c r="E11" s="10">
        <v>-0.93448693311604103</v>
      </c>
      <c r="F11" s="10">
        <v>0.48092131799610199</v>
      </c>
      <c r="G11" s="10">
        <v>0.69374729844743022</v>
      </c>
      <c r="H11" s="2" t="s">
        <v>1</v>
      </c>
      <c r="I11" s="4">
        <v>113</v>
      </c>
    </row>
    <row r="12" spans="1:9" x14ac:dyDescent="0.2">
      <c r="A12" s="7">
        <v>161.33984877727201</v>
      </c>
      <c r="B12" s="10">
        <f t="shared" si="0"/>
        <v>0.161339848777272</v>
      </c>
      <c r="C12" s="10">
        <v>6.1828991696401096E-2</v>
      </c>
      <c r="D12" s="10">
        <v>6.4325685620253301E-2</v>
      </c>
      <c r="E12" s="10">
        <v>-0.18825027128621699</v>
      </c>
      <c r="F12" s="10">
        <v>0.36701217791636798</v>
      </c>
      <c r="G12" s="10">
        <v>0.62024022663716016</v>
      </c>
      <c r="H12" s="2" t="s">
        <v>1</v>
      </c>
      <c r="I12" s="4">
        <v>109</v>
      </c>
    </row>
    <row r="13" spans="1:9" x14ac:dyDescent="0.2">
      <c r="A13" s="7">
        <v>163.314308919794</v>
      </c>
      <c r="B13" s="10">
        <f t="shared" si="0"/>
        <v>0.16331430891979401</v>
      </c>
      <c r="C13" s="10">
        <v>6.2387518254981504E-2</v>
      </c>
      <c r="D13" s="10">
        <v>6.4922479560941396E-2</v>
      </c>
      <c r="E13" s="10">
        <v>-2.09581841084416</v>
      </c>
      <c r="F13" s="10">
        <v>0.60996137043738896</v>
      </c>
      <c r="G13" s="10">
        <v>0.78870328604986661</v>
      </c>
      <c r="H13" s="2" t="s">
        <v>1</v>
      </c>
      <c r="I13" s="4">
        <v>114</v>
      </c>
    </row>
    <row r="14" spans="1:9" x14ac:dyDescent="0.2">
      <c r="A14" s="7">
        <v>216.77872200508199</v>
      </c>
      <c r="B14" s="10">
        <f t="shared" si="0"/>
        <v>0.216778722005082</v>
      </c>
      <c r="C14" s="10">
        <v>6.2387518254981504E-2</v>
      </c>
      <c r="D14" s="10">
        <v>6.6789354744726692E-2</v>
      </c>
      <c r="E14" s="10">
        <v>-2.1441245121321999</v>
      </c>
      <c r="F14" s="10">
        <v>0.61664047703468905</v>
      </c>
      <c r="G14" s="10">
        <v>0.7938800148117906</v>
      </c>
      <c r="H14" s="2" t="s">
        <v>1</v>
      </c>
      <c r="I14" s="4">
        <v>115</v>
      </c>
    </row>
    <row r="15" spans="1:9" x14ac:dyDescent="0.2">
      <c r="A15" s="7">
        <v>350</v>
      </c>
      <c r="B15" s="10">
        <f t="shared" si="0"/>
        <v>0.35</v>
      </c>
      <c r="C15" s="10">
        <v>9.0909090909090912E-2</v>
      </c>
      <c r="D15" s="10">
        <v>9.8725441553417989E-2</v>
      </c>
      <c r="E15" s="10">
        <v>-0.26</v>
      </c>
      <c r="F15" s="10">
        <v>0.39638787948202697</v>
      </c>
      <c r="G15" s="10">
        <v>0.63806218427380412</v>
      </c>
      <c r="H15" s="2" t="s">
        <v>1</v>
      </c>
      <c r="I15" s="4">
        <v>121</v>
      </c>
    </row>
    <row r="16" spans="1:9" x14ac:dyDescent="0.2">
      <c r="A16" s="7">
        <v>435.12656691584698</v>
      </c>
      <c r="B16" s="10">
        <f t="shared" si="0"/>
        <v>0.435126566915847</v>
      </c>
      <c r="C16" s="10">
        <v>5.3234254365441498E-2</v>
      </c>
      <c r="D16" s="10">
        <v>7.1587994116330503E-2</v>
      </c>
      <c r="E16" s="10">
        <v>-0.30593244362331401</v>
      </c>
      <c r="F16" s="10">
        <v>0.35480212307352899</v>
      </c>
      <c r="G16" s="10">
        <v>0.6130942395239769</v>
      </c>
      <c r="H16" s="2" t="s">
        <v>1</v>
      </c>
      <c r="I16" s="4">
        <v>1</v>
      </c>
    </row>
    <row r="17" spans="1:9" x14ac:dyDescent="0.2">
      <c r="A17" s="7">
        <v>456.03451611272101</v>
      </c>
      <c r="B17" s="10">
        <f t="shared" si="0"/>
        <v>0.456034516112721</v>
      </c>
      <c r="C17" s="10">
        <v>5.93430600733112E-2</v>
      </c>
      <c r="D17" s="10">
        <v>7.7704602730386596E-2</v>
      </c>
      <c r="E17" s="10">
        <v>-1.1732253087601801</v>
      </c>
      <c r="F17" s="10">
        <v>0.41716437991558802</v>
      </c>
      <c r="G17" s="10">
        <v>0.65117288017112407</v>
      </c>
      <c r="H17" s="2" t="s">
        <v>1</v>
      </c>
      <c r="I17" s="4">
        <v>2</v>
      </c>
    </row>
    <row r="18" spans="1:9" x14ac:dyDescent="0.2">
      <c r="A18" s="7">
        <v>525.43043779184802</v>
      </c>
      <c r="B18" s="10">
        <f t="shared" si="0"/>
        <v>0.52543043779184806</v>
      </c>
      <c r="C18" s="10">
        <v>6.1828991696401096E-2</v>
      </c>
      <c r="D18" s="10">
        <v>8.4636621318357502E-2</v>
      </c>
      <c r="E18" s="10">
        <v>-1.01219344898751</v>
      </c>
      <c r="F18" s="10">
        <v>0.41744680533005801</v>
      </c>
      <c r="G18" s="10">
        <v>0.65135384798147267</v>
      </c>
      <c r="H18" s="2" t="s">
        <v>1</v>
      </c>
      <c r="I18" s="4">
        <v>25</v>
      </c>
    </row>
    <row r="19" spans="1:9" x14ac:dyDescent="0.2">
      <c r="A19" s="7">
        <v>530</v>
      </c>
      <c r="B19" s="10">
        <f t="shared" si="0"/>
        <v>0.53</v>
      </c>
      <c r="C19" s="10">
        <v>9.0909090909090912E-2</v>
      </c>
      <c r="D19" s="10">
        <v>0.107997003708054</v>
      </c>
      <c r="E19" s="10">
        <v>-0.32</v>
      </c>
      <c r="F19" s="10">
        <v>0.39813986361611398</v>
      </c>
      <c r="G19" s="10">
        <v>0.6391520562434716</v>
      </c>
      <c r="H19" s="2" t="s">
        <v>1</v>
      </c>
      <c r="I19" s="4">
        <v>123</v>
      </c>
    </row>
    <row r="20" spans="1:9" x14ac:dyDescent="0.2">
      <c r="A20" s="7">
        <v>530</v>
      </c>
      <c r="B20" s="10">
        <f>A20/1000+0.0001</f>
        <v>0.53010000000000002</v>
      </c>
      <c r="C20" s="10">
        <v>9.0909090909090912E-2</v>
      </c>
      <c r="D20" s="10">
        <v>0.107997003708054</v>
      </c>
      <c r="E20" s="10">
        <v>-0.19</v>
      </c>
      <c r="F20" s="10">
        <v>0.39479532798686701</v>
      </c>
      <c r="G20" s="10">
        <v>0.63707405456528987</v>
      </c>
      <c r="H20" s="2" t="s">
        <v>1</v>
      </c>
      <c r="I20" s="4">
        <v>124</v>
      </c>
    </row>
    <row r="21" spans="1:9" x14ac:dyDescent="0.2">
      <c r="A21" s="7">
        <v>544.57443427082296</v>
      </c>
      <c r="B21" s="10">
        <f t="shared" si="0"/>
        <v>0.54457443427082297</v>
      </c>
      <c r="C21" s="10">
        <v>6.1828991696401096E-2</v>
      </c>
      <c r="D21" s="10">
        <v>8.6088420354751602E-2</v>
      </c>
      <c r="E21" s="10">
        <v>-1.85836926835126</v>
      </c>
      <c r="F21" s="10">
        <v>0.52098163658178798</v>
      </c>
      <c r="G21" s="10">
        <v>0.72209546851883655</v>
      </c>
      <c r="H21" s="2" t="s">
        <v>1</v>
      </c>
      <c r="I21" s="4">
        <v>28</v>
      </c>
    </row>
    <row r="22" spans="1:9" x14ac:dyDescent="0.2">
      <c r="A22" s="7">
        <v>558.46275426150703</v>
      </c>
      <c r="B22" s="10">
        <f t="shared" si="0"/>
        <v>0.55846275426150704</v>
      </c>
      <c r="C22" s="10">
        <v>5.93430600733112E-2</v>
      </c>
      <c r="D22" s="10">
        <v>8.5412848087524501E-2</v>
      </c>
      <c r="E22" s="10">
        <v>-2.14699463640489</v>
      </c>
      <c r="F22" s="10">
        <v>0.55077332326084405</v>
      </c>
      <c r="G22" s="10">
        <v>0.74387583212240083</v>
      </c>
      <c r="H22" s="2" t="s">
        <v>1</v>
      </c>
      <c r="I22" s="4">
        <v>3</v>
      </c>
    </row>
    <row r="23" spans="1:9" x14ac:dyDescent="0.2">
      <c r="A23" s="7">
        <v>570</v>
      </c>
      <c r="B23" s="10">
        <f t="shared" si="0"/>
        <v>0.56999999999999995</v>
      </c>
      <c r="C23" s="10">
        <v>9.0909090909090912E-2</v>
      </c>
      <c r="D23" s="10">
        <v>0.11043438237214601</v>
      </c>
      <c r="E23" s="10">
        <v>-2.76</v>
      </c>
      <c r="F23" s="10">
        <v>0.67758641589118196</v>
      </c>
      <c r="G23" s="10">
        <v>0.84209462116810707</v>
      </c>
      <c r="H23" s="2" t="s">
        <v>1</v>
      </c>
      <c r="I23" s="4">
        <v>122</v>
      </c>
    </row>
    <row r="24" spans="1:9" x14ac:dyDescent="0.2">
      <c r="A24" s="7">
        <v>580.29425135983502</v>
      </c>
      <c r="B24" s="10">
        <f t="shared" si="0"/>
        <v>0.58029425135983503</v>
      </c>
      <c r="C24" s="10">
        <v>5.93430600733112E-2</v>
      </c>
      <c r="D24" s="10">
        <v>8.7156009193950598E-2</v>
      </c>
      <c r="E24" s="10">
        <v>-1.2542090392121401</v>
      </c>
      <c r="F24" s="10">
        <v>0.42648496741080799</v>
      </c>
      <c r="G24" s="10">
        <v>0.65718294821715961</v>
      </c>
      <c r="H24" s="2" t="s">
        <v>1</v>
      </c>
      <c r="I24" s="4">
        <v>7</v>
      </c>
    </row>
    <row r="25" spans="1:9" x14ac:dyDescent="0.2">
      <c r="A25" s="7">
        <v>590.72666727918704</v>
      </c>
      <c r="B25" s="10">
        <f t="shared" si="0"/>
        <v>0.59072666727918699</v>
      </c>
      <c r="C25" s="10">
        <v>5.3234254365441498E-2</v>
      </c>
      <c r="D25" s="10">
        <v>8.400165226116281E-2</v>
      </c>
      <c r="E25" s="10">
        <v>-1.6029365486603899</v>
      </c>
      <c r="F25" s="10">
        <v>0.47425413366283098</v>
      </c>
      <c r="G25" s="10">
        <v>0.68914220832588857</v>
      </c>
      <c r="H25" s="2" t="s">
        <v>1</v>
      </c>
      <c r="I25" s="4">
        <v>6</v>
      </c>
    </row>
    <row r="26" spans="1:9" x14ac:dyDescent="0.2">
      <c r="A26" s="7">
        <v>604.11009325438704</v>
      </c>
      <c r="B26" s="10">
        <f t="shared" si="0"/>
        <v>0.60411009325438703</v>
      </c>
      <c r="C26" s="10">
        <v>6.1828991696401096E-2</v>
      </c>
      <c r="D26" s="10">
        <v>9.0767324362529905E-2</v>
      </c>
      <c r="E26" s="10">
        <v>-1.80087997983491</v>
      </c>
      <c r="F26" s="10">
        <v>0.51284223716865396</v>
      </c>
      <c r="G26" s="10">
        <v>0.71624518164114026</v>
      </c>
      <c r="H26" s="2" t="s">
        <v>1</v>
      </c>
      <c r="I26" s="4">
        <v>24</v>
      </c>
    </row>
    <row r="27" spans="1:9" x14ac:dyDescent="0.2">
      <c r="A27" s="7">
        <v>607.58991213524496</v>
      </c>
      <c r="B27" s="10">
        <f t="shared" si="0"/>
        <v>0.60758991213524494</v>
      </c>
      <c r="C27" s="10">
        <v>5.93430600733112E-2</v>
      </c>
      <c r="D27" s="10">
        <v>8.9378416549744599E-2</v>
      </c>
      <c r="E27" s="10">
        <v>2.4590284771086601E-2</v>
      </c>
      <c r="F27" s="10">
        <v>0.34495217371390102</v>
      </c>
      <c r="G27" s="10">
        <v>0.60744711880948565</v>
      </c>
      <c r="H27" s="2" t="s">
        <v>1</v>
      </c>
      <c r="I27" s="4">
        <v>5</v>
      </c>
    </row>
    <row r="28" spans="1:9" x14ac:dyDescent="0.2">
      <c r="A28" s="7">
        <v>608.18571263172703</v>
      </c>
      <c r="B28" s="10">
        <f t="shared" si="0"/>
        <v>0.60818571263172705</v>
      </c>
      <c r="C28" s="10">
        <v>6.1828991696401096E-2</v>
      </c>
      <c r="D28" s="10">
        <v>9.1096056626458408E-2</v>
      </c>
      <c r="E28" s="10">
        <v>-1.95865706981035</v>
      </c>
      <c r="F28" s="10">
        <v>0.53547540824772299</v>
      </c>
      <c r="G28" s="10">
        <v>0.73262126152471552</v>
      </c>
      <c r="H28" s="2" t="s">
        <v>1</v>
      </c>
      <c r="I28" s="4">
        <v>27</v>
      </c>
    </row>
    <row r="29" spans="1:9" x14ac:dyDescent="0.2">
      <c r="A29" s="7">
        <v>628.32068759515801</v>
      </c>
      <c r="B29" s="10">
        <f t="shared" si="0"/>
        <v>0.62832068759515802</v>
      </c>
      <c r="C29" s="10">
        <v>6.1828991696401096E-2</v>
      </c>
      <c r="D29" s="10">
        <v>9.2734812990377405E-2</v>
      </c>
      <c r="E29" s="10">
        <v>-0.493272403930267</v>
      </c>
      <c r="F29" s="10">
        <v>0.37817075340711898</v>
      </c>
      <c r="G29" s="10">
        <v>0.6269075838849838</v>
      </c>
      <c r="H29" s="2" t="s">
        <v>1</v>
      </c>
      <c r="I29" s="4">
        <v>23</v>
      </c>
    </row>
    <row r="30" spans="1:9" x14ac:dyDescent="0.2">
      <c r="A30" s="7">
        <v>629.17672087981896</v>
      </c>
      <c r="B30" s="10">
        <f t="shared" si="0"/>
        <v>0.62917672087981891</v>
      </c>
      <c r="C30" s="10">
        <v>6.1828991696401096E-2</v>
      </c>
      <c r="D30" s="10">
        <v>9.2805014422542603E-2</v>
      </c>
      <c r="E30" s="10">
        <v>-0.14099225867514301</v>
      </c>
      <c r="F30" s="10">
        <v>0.36616330350486398</v>
      </c>
      <c r="G30" s="10">
        <v>0.61973830350688763</v>
      </c>
      <c r="H30" s="2" t="s">
        <v>1</v>
      </c>
      <c r="I30" s="4">
        <v>16</v>
      </c>
    </row>
    <row r="31" spans="1:9" x14ac:dyDescent="0.2">
      <c r="A31" s="7">
        <v>634.25885846937001</v>
      </c>
      <c r="B31" s="10">
        <f t="shared" si="0"/>
        <v>0.63425885846937002</v>
      </c>
      <c r="C31" s="10">
        <v>6.1828991696401096E-2</v>
      </c>
      <c r="D31" s="10">
        <v>9.3222659470274388E-2</v>
      </c>
      <c r="E31" s="10">
        <v>-2.0024850217533801</v>
      </c>
      <c r="F31" s="10">
        <v>0.54192090072925503</v>
      </c>
      <c r="G31" s="10">
        <v>0.73734541610239035</v>
      </c>
      <c r="H31" s="2" t="s">
        <v>1</v>
      </c>
      <c r="I31" s="4">
        <v>19</v>
      </c>
    </row>
    <row r="32" spans="1:9" x14ac:dyDescent="0.2">
      <c r="A32" s="7">
        <v>640</v>
      </c>
      <c r="B32" s="10">
        <f t="shared" si="0"/>
        <v>0.64</v>
      </c>
      <c r="C32" s="10">
        <v>9.0909090909090912E-2</v>
      </c>
      <c r="D32" s="10">
        <v>0.114980967163776</v>
      </c>
      <c r="E32" s="10">
        <v>-2.12</v>
      </c>
      <c r="F32" s="10">
        <v>0.57809631636973602</v>
      </c>
      <c r="G32" s="10">
        <v>0.76432673052841604</v>
      </c>
      <c r="H32" s="2" t="s">
        <v>1</v>
      </c>
      <c r="I32" s="4">
        <v>126</v>
      </c>
    </row>
    <row r="33" spans="1:9" x14ac:dyDescent="0.2">
      <c r="A33" s="7">
        <v>648.56634389305702</v>
      </c>
      <c r="B33" s="10">
        <f t="shared" si="0"/>
        <v>0.64856634389305701</v>
      </c>
      <c r="C33" s="10">
        <v>6.1828991696401096E-2</v>
      </c>
      <c r="D33" s="10">
        <v>9.4406290434517204E-2</v>
      </c>
      <c r="E33" s="10">
        <v>-0.81599603573689905</v>
      </c>
      <c r="F33" s="10">
        <v>0.39989297739129598</v>
      </c>
      <c r="G33" s="10">
        <v>0.64024557270384586</v>
      </c>
      <c r="H33" s="2" t="s">
        <v>1</v>
      </c>
      <c r="I33" s="4">
        <v>20</v>
      </c>
    </row>
    <row r="34" spans="1:9" x14ac:dyDescent="0.2">
      <c r="A34" s="7">
        <v>662.47038379901005</v>
      </c>
      <c r="B34" s="10">
        <f t="shared" si="0"/>
        <v>0.66247038379901002</v>
      </c>
      <c r="C34" s="10">
        <v>6.1828991696401096E-2</v>
      </c>
      <c r="D34" s="10">
        <v>9.5567332431456001E-2</v>
      </c>
      <c r="E34" s="10">
        <v>-1.52544853780912</v>
      </c>
      <c r="F34" s="10">
        <v>0.47577320417768498</v>
      </c>
      <c r="G34" s="10">
        <v>0.69018848281719469</v>
      </c>
      <c r="H34" s="2" t="s">
        <v>1</v>
      </c>
      <c r="I34" s="4">
        <v>29</v>
      </c>
    </row>
    <row r="35" spans="1:9" x14ac:dyDescent="0.2">
      <c r="A35" s="7">
        <v>668.08910900296996</v>
      </c>
      <c r="B35" s="10">
        <f t="shared" si="0"/>
        <v>0.66808910900296992</v>
      </c>
      <c r="C35" s="10">
        <v>6.1828991696401096E-2</v>
      </c>
      <c r="D35" s="10">
        <v>9.6039446118618699E-2</v>
      </c>
      <c r="E35" s="10">
        <v>-0.78124922508005001</v>
      </c>
      <c r="F35" s="10">
        <v>0.39710757512400802</v>
      </c>
      <c r="G35" s="10">
        <v>0.63850953494906382</v>
      </c>
      <c r="H35" s="2" t="s">
        <v>1</v>
      </c>
      <c r="I35" s="4">
        <v>21</v>
      </c>
    </row>
    <row r="36" spans="1:9" x14ac:dyDescent="0.2">
      <c r="A36" s="7">
        <v>677.63945757554905</v>
      </c>
      <c r="B36" s="10">
        <f t="shared" si="0"/>
        <v>0.677639457575549</v>
      </c>
      <c r="C36" s="10">
        <v>5.3234254365441498E-2</v>
      </c>
      <c r="D36" s="10">
        <v>9.15977520185417E-2</v>
      </c>
      <c r="E36" s="10">
        <v>-1.4507304098489999</v>
      </c>
      <c r="F36" s="10">
        <v>0.45423067819936602</v>
      </c>
      <c r="G36" s="10">
        <v>0.67551869627528149</v>
      </c>
      <c r="H36" s="2" t="s">
        <v>1</v>
      </c>
      <c r="I36" s="4">
        <v>8</v>
      </c>
    </row>
    <row r="37" spans="1:9" x14ac:dyDescent="0.2">
      <c r="A37" s="7">
        <v>714.59672179922097</v>
      </c>
      <c r="B37" s="10">
        <f t="shared" si="0"/>
        <v>0.71459672179922096</v>
      </c>
      <c r="C37" s="10">
        <v>6.1828991696401096E-2</v>
      </c>
      <c r="D37" s="10">
        <v>0.10000835344784199</v>
      </c>
      <c r="E37" s="10">
        <v>-1.3205721556482899</v>
      </c>
      <c r="F37" s="10">
        <v>0.45059609949963603</v>
      </c>
      <c r="G37" s="10">
        <v>0.67308011773063525</v>
      </c>
      <c r="H37" s="2" t="s">
        <v>1</v>
      </c>
      <c r="I37" s="4">
        <v>22</v>
      </c>
    </row>
    <row r="38" spans="1:9" x14ac:dyDescent="0.2">
      <c r="A38" s="7">
        <v>740</v>
      </c>
      <c r="B38" s="10">
        <f t="shared" si="0"/>
        <v>0.74</v>
      </c>
      <c r="C38" s="10">
        <v>9.0909090909090912E-2</v>
      </c>
      <c r="D38" s="10">
        <v>0.12202632015232401</v>
      </c>
      <c r="E38" s="10">
        <v>-1.1000000000000001</v>
      </c>
      <c r="F38" s="10">
        <v>0.45035469465773098</v>
      </c>
      <c r="G38" s="10">
        <v>0.67291853221638809</v>
      </c>
      <c r="H38" s="2" t="s">
        <v>1</v>
      </c>
      <c r="I38" s="4">
        <v>133</v>
      </c>
    </row>
    <row r="39" spans="1:9" x14ac:dyDescent="0.2">
      <c r="A39" s="7">
        <v>750</v>
      </c>
      <c r="B39" s="10">
        <f t="shared" si="0"/>
        <v>0.75</v>
      </c>
      <c r="C39" s="10">
        <v>9.0909090909090912E-2</v>
      </c>
      <c r="D39" s="10">
        <v>0.12276283154895599</v>
      </c>
      <c r="E39" s="10">
        <v>-1.19</v>
      </c>
      <c r="F39" s="10">
        <v>0.45941631555731399</v>
      </c>
      <c r="G39" s="10">
        <v>0.67901645856360326</v>
      </c>
      <c r="H39" s="2" t="s">
        <v>1</v>
      </c>
      <c r="I39" s="4">
        <v>125</v>
      </c>
    </row>
    <row r="40" spans="1:9" x14ac:dyDescent="0.2">
      <c r="A40" s="7">
        <v>770.30397181415503</v>
      </c>
      <c r="B40" s="10">
        <f t="shared" si="0"/>
        <v>0.770303971814155</v>
      </c>
      <c r="C40" s="10">
        <v>6.1828991696401096E-2</v>
      </c>
      <c r="D40" s="10">
        <v>0.10489318158491</v>
      </c>
      <c r="E40" s="10">
        <v>-0.99239435739140203</v>
      </c>
      <c r="F40" s="10">
        <v>0.41554094211838399</v>
      </c>
      <c r="G40" s="10">
        <v>0.65013404354535542</v>
      </c>
      <c r="H40" s="2" t="s">
        <v>1</v>
      </c>
      <c r="I40" s="4">
        <v>18</v>
      </c>
    </row>
    <row r="41" spans="1:9" x14ac:dyDescent="0.2">
      <c r="A41" s="7">
        <v>776.22887637775796</v>
      </c>
      <c r="B41" s="10">
        <f t="shared" si="0"/>
        <v>0.77622887637775795</v>
      </c>
      <c r="C41" s="10">
        <v>6.1828991696401096E-2</v>
      </c>
      <c r="D41" s="10">
        <v>0.10542036123689801</v>
      </c>
      <c r="E41" s="10">
        <v>-0.47072366495004597</v>
      </c>
      <c r="F41" s="10">
        <v>0.37701941979572201</v>
      </c>
      <c r="G41" s="10">
        <v>0.6262137357988109</v>
      </c>
      <c r="H41" s="2" t="s">
        <v>1</v>
      </c>
      <c r="I41" s="4">
        <v>14</v>
      </c>
    </row>
    <row r="42" spans="1:9" x14ac:dyDescent="0.2">
      <c r="A42" s="7">
        <v>781.21301395348098</v>
      </c>
      <c r="B42" s="10">
        <f t="shared" si="0"/>
        <v>0.78121301395348097</v>
      </c>
      <c r="C42" s="10">
        <v>6.1828991696401096E-2</v>
      </c>
      <c r="D42" s="10">
        <v>0.10586490858426199</v>
      </c>
      <c r="E42" s="10">
        <v>-1.3277760550293201</v>
      </c>
      <c r="F42" s="10">
        <v>0.45144211394785799</v>
      </c>
      <c r="G42" s="10">
        <v>0.67364677854622801</v>
      </c>
      <c r="H42" s="2" t="s">
        <v>1</v>
      </c>
      <c r="I42" s="4">
        <v>13</v>
      </c>
    </row>
    <row r="43" spans="1:9" x14ac:dyDescent="0.2">
      <c r="A43" s="7">
        <v>788.02136209295395</v>
      </c>
      <c r="B43" s="10">
        <f t="shared" si="0"/>
        <v>0.78802136209295393</v>
      </c>
      <c r="C43" s="10">
        <v>5.3234254365441498E-2</v>
      </c>
      <c r="D43" s="10">
        <v>0.10172372196264801</v>
      </c>
      <c r="E43" s="10">
        <v>-0.95995177750962701</v>
      </c>
      <c r="F43" s="10">
        <v>0.39874936581866299</v>
      </c>
      <c r="G43" s="10">
        <v>0.63953190439632168</v>
      </c>
      <c r="H43" s="2" t="s">
        <v>1</v>
      </c>
      <c r="I43" s="4">
        <v>9</v>
      </c>
    </row>
    <row r="44" spans="1:9" x14ac:dyDescent="0.2">
      <c r="A44" s="7">
        <v>800.27390742313298</v>
      </c>
      <c r="B44" s="10">
        <f t="shared" si="0"/>
        <v>0.80027390742313298</v>
      </c>
      <c r="C44" s="10">
        <v>5.3234254365441498E-2</v>
      </c>
      <c r="D44" s="10">
        <v>0.102874630465252</v>
      </c>
      <c r="E44" s="10">
        <v>-1.1698617260413899</v>
      </c>
      <c r="F44" s="10">
        <v>0.39009667834690898</v>
      </c>
      <c r="G44" s="10">
        <v>0.63417301933880144</v>
      </c>
      <c r="H44" s="2" t="s">
        <v>1</v>
      </c>
      <c r="I44" s="4">
        <v>11</v>
      </c>
    </row>
    <row r="45" spans="1:9" x14ac:dyDescent="0.2">
      <c r="A45" s="7">
        <v>826.53598254713302</v>
      </c>
      <c r="B45" s="10">
        <f t="shared" si="0"/>
        <v>0.82653598254713301</v>
      </c>
      <c r="C45" s="10">
        <v>5.3234254365441498E-2</v>
      </c>
      <c r="D45" s="10">
        <v>0.10535721511235399</v>
      </c>
      <c r="E45" s="10">
        <v>-1.45828867402698</v>
      </c>
      <c r="F45" s="10">
        <v>0.42719620130198299</v>
      </c>
      <c r="G45" s="10">
        <v>0.65764473266866841</v>
      </c>
      <c r="H45" s="2" t="s">
        <v>1</v>
      </c>
      <c r="I45" s="4">
        <v>4</v>
      </c>
    </row>
    <row r="46" spans="1:9" x14ac:dyDescent="0.2">
      <c r="A46" s="7">
        <v>833.36110460387795</v>
      </c>
      <c r="B46" s="10">
        <f t="shared" si="0"/>
        <v>0.83336110460387791</v>
      </c>
      <c r="C46" s="10">
        <v>6.1828991696401096E-2</v>
      </c>
      <c r="D46" s="10">
        <v>0.110571976808138</v>
      </c>
      <c r="E46" s="10">
        <v>-1.22078339917842</v>
      </c>
      <c r="F46" s="10">
        <v>0.41010303151979599</v>
      </c>
      <c r="G46" s="10">
        <v>0.64667186150452438</v>
      </c>
      <c r="H46" s="2" t="s">
        <v>1</v>
      </c>
      <c r="I46" s="4">
        <v>17</v>
      </c>
    </row>
    <row r="47" spans="1:9" x14ac:dyDescent="0.2">
      <c r="A47" s="7">
        <v>857.81442801549895</v>
      </c>
      <c r="B47" s="10">
        <f t="shared" si="0"/>
        <v>0.8578144280154989</v>
      </c>
      <c r="C47" s="10">
        <v>6.1828991696401096E-2</v>
      </c>
      <c r="D47" s="10">
        <v>0.112812037870182</v>
      </c>
      <c r="E47" s="10">
        <v>-0.982694358700686</v>
      </c>
      <c r="F47" s="10">
        <v>0.38366592272213701</v>
      </c>
      <c r="G47" s="10">
        <v>0.63023768552684056</v>
      </c>
      <c r="H47" s="2" t="s">
        <v>1</v>
      </c>
      <c r="I47" s="4">
        <v>12</v>
      </c>
    </row>
    <row r="48" spans="1:9" x14ac:dyDescent="0.2">
      <c r="A48" s="7">
        <v>872.55598844912902</v>
      </c>
      <c r="B48" s="10">
        <f t="shared" si="0"/>
        <v>0.87255598844912907</v>
      </c>
      <c r="C48" s="10">
        <v>5.3234254365441498E-2</v>
      </c>
      <c r="D48" s="10">
        <v>0.10975549493708099</v>
      </c>
      <c r="E48" s="10">
        <v>-1.1138980050757801</v>
      </c>
      <c r="F48" s="10">
        <v>0.38348808425230402</v>
      </c>
      <c r="G48" s="10">
        <v>0.63012943968957857</v>
      </c>
      <c r="H48" s="2" t="s">
        <v>1</v>
      </c>
      <c r="I48" s="4">
        <v>10</v>
      </c>
    </row>
    <row r="49" spans="1:9" x14ac:dyDescent="0.2">
      <c r="A49" s="7">
        <v>875.93315559943801</v>
      </c>
      <c r="B49" s="10">
        <f t="shared" si="0"/>
        <v>0.87593315559943796</v>
      </c>
      <c r="C49" s="10">
        <v>6.1828991696401096E-2</v>
      </c>
      <c r="D49" s="10">
        <v>0.11448430818431901</v>
      </c>
      <c r="E49" s="10">
        <v>-1.27887474240662</v>
      </c>
      <c r="F49" s="10">
        <v>0.41712448552436598</v>
      </c>
      <c r="G49" s="10">
        <v>0.65114732313353407</v>
      </c>
      <c r="H49" s="2" t="s">
        <v>1</v>
      </c>
      <c r="I49" s="4">
        <v>30</v>
      </c>
    </row>
  </sheetData>
  <sortState xmlns:xlrd2="http://schemas.microsoft.com/office/spreadsheetml/2017/richdata2" ref="A2:I125">
    <sortCondition ref="B1:B12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Bartlein</dc:creator>
  <cp:lastModifiedBy>Patrick Bartlein</cp:lastModifiedBy>
  <dcterms:created xsi:type="dcterms:W3CDTF">2026-03-28T22:51:18Z</dcterms:created>
  <dcterms:modified xsi:type="dcterms:W3CDTF">2026-04-05T19:15:18Z</dcterms:modified>
</cp:coreProperties>
</file>