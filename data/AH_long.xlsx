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lein/Dropbox/WorkCurrent/globalT/MOTs/Shackleton/"/>
    </mc:Choice>
  </mc:AlternateContent>
  <xr:revisionPtr revIDLastSave="0" documentId="13_ncr:1_{3826C69A-E907-B748-9BF6-F1E81D8C84AE}" xr6:coauthVersionLast="47" xr6:coauthVersionMax="47" xr10:uidLastSave="{00000000-0000-0000-0000-000000000000}"/>
  <bookViews>
    <workbookView xWindow="13600" yWindow="8260" windowWidth="26040" windowHeight="14680" xr2:uid="{CFF983A1-E343-5942-912D-75EE9E7A8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16" i="1"/>
  <c r="B17" i="1"/>
  <c r="B13" i="1"/>
  <c r="B66" i="1"/>
  <c r="B23" i="1"/>
  <c r="B34" i="1"/>
  <c r="B28" i="1"/>
  <c r="B41" i="1"/>
  <c r="B47" i="1"/>
  <c r="B48" i="1"/>
  <c r="B35" i="1"/>
  <c r="B12" i="1"/>
  <c r="B5" i="1"/>
  <c r="B7" i="1"/>
  <c r="B14" i="1"/>
  <c r="B8" i="1"/>
  <c r="B69" i="1"/>
  <c r="B73" i="1"/>
  <c r="B61" i="1"/>
  <c r="B58" i="1"/>
  <c r="B62" i="1"/>
  <c r="B29" i="1"/>
  <c r="B25" i="1"/>
  <c r="B31" i="1"/>
  <c r="B6" i="1"/>
  <c r="B10" i="1"/>
  <c r="B59" i="1"/>
  <c r="B42" i="1"/>
  <c r="B52" i="1"/>
  <c r="B63" i="1"/>
  <c r="B20" i="1"/>
  <c r="B18" i="1"/>
  <c r="B22" i="1"/>
  <c r="B32" i="1"/>
  <c r="B36" i="1"/>
  <c r="B45" i="1"/>
  <c r="B54" i="1"/>
  <c r="B56" i="1"/>
  <c r="B53" i="1"/>
  <c r="B40" i="1"/>
  <c r="B43" i="1"/>
  <c r="B49" i="1"/>
  <c r="B50" i="1"/>
  <c r="B51" i="1"/>
  <c r="B38" i="1"/>
  <c r="B64" i="1"/>
  <c r="B70" i="1"/>
  <c r="B72" i="1"/>
  <c r="B76" i="1"/>
  <c r="B74" i="1"/>
  <c r="B75" i="1"/>
  <c r="B3" i="1"/>
  <c r="B26" i="1"/>
  <c r="B9" i="1"/>
  <c r="B19" i="1"/>
  <c r="B15" i="1"/>
  <c r="B27" i="1"/>
  <c r="B33" i="1"/>
  <c r="B24" i="1"/>
  <c r="B67" i="1"/>
  <c r="B68" i="1"/>
  <c r="B37" i="1"/>
  <c r="B2" i="1"/>
  <c r="B4" i="1"/>
  <c r="B55" i="1"/>
  <c r="B65" i="1"/>
  <c r="B21" i="1"/>
  <c r="B44" i="1"/>
  <c r="B39" i="1"/>
  <c r="B11" i="1"/>
  <c r="B57" i="1"/>
  <c r="B46" i="1"/>
  <c r="B60" i="1"/>
  <c r="B71" i="1"/>
</calcChain>
</file>

<file path=xl/sharedStrings.xml><?xml version="1.0" encoding="utf-8"?>
<sst xmlns="http://schemas.openxmlformats.org/spreadsheetml/2006/main" count="84" uniqueCount="10">
  <si>
    <t>Snapshot</t>
  </si>
  <si>
    <t>'long'</t>
  </si>
  <si>
    <t>seqnum</t>
  </si>
  <si>
    <t>Age_ka</t>
  </si>
  <si>
    <t>AgeMa</t>
  </si>
  <si>
    <t>MOT_anomaly</t>
  </si>
  <si>
    <t>MOT_abs_err</t>
  </si>
  <si>
    <t>Rel_err_Myr</t>
  </si>
  <si>
    <t>Abs_err_Myr</t>
  </si>
  <si>
    <t>MOT_rel_err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</si>
</sst>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 applyFon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164" fontId="0" fillId="0" borderId="0" xfId="0" applyNumberFormat="1"/>
    <xf numFmtId="165" fontId="1" fillId="0" borderId="0" xfId="0" applyNumberFormat="1" applyFont="1" applyAlignment="1">
      <alignment horizontal="left"/>
    </xf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4B04-A2D0-3843-AB11-204B61FC4C3E}">
  <dimension ref="A1:I76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.83203125" style="8"/>
    <col min="2" max="7" width="10.83203125" style="11"/>
    <col min="9" max="9" width="10.83203125" style="5"/>
  </cols>
  <sheetData>
    <row r="1" spans="1:9" x14ac:dyDescent="0.2">
      <c r="A1" s="6" t="s">
        <v>3</v>
      </c>
      <c r="B1" s="9" t="s">
        <v>4</v>
      </c>
      <c r="C1" s="9" t="s">
        <v>7</v>
      </c>
      <c r="D1" s="9" t="s">
        <v>8</v>
      </c>
      <c r="E1" s="9" t="s">
        <v>5</v>
      </c>
      <c r="F1" s="9" t="s">
        <v>9</v>
      </c>
      <c r="G1" s="9" t="s">
        <v>6</v>
      </c>
      <c r="H1" s="1" t="s">
        <v>0</v>
      </c>
      <c r="I1" s="3" t="s">
        <v>2</v>
      </c>
    </row>
    <row r="2" spans="1:9" x14ac:dyDescent="0.2">
      <c r="A2" s="7">
        <v>430</v>
      </c>
      <c r="B2" s="10">
        <f t="shared" ref="B2:B33" si="0">A2/1000</f>
        <v>0.43</v>
      </c>
      <c r="C2" s="10">
        <v>9.0909090909090912E-2</v>
      </c>
      <c r="D2" s="10">
        <v>0.102478060139316</v>
      </c>
      <c r="E2" s="10">
        <v>-1.99</v>
      </c>
      <c r="F2" s="10">
        <v>0.55930613352640601</v>
      </c>
      <c r="G2" s="10">
        <v>0.75021553636288951</v>
      </c>
      <c r="H2" s="2" t="s">
        <v>1</v>
      </c>
      <c r="I2" s="4">
        <v>128</v>
      </c>
    </row>
    <row r="3" spans="1:9" x14ac:dyDescent="0.2">
      <c r="A3" s="7">
        <v>499.48469848565799</v>
      </c>
      <c r="B3" s="10">
        <f t="shared" si="0"/>
        <v>0.49948469848565796</v>
      </c>
      <c r="C3" s="10">
        <v>0.10401779919557001</v>
      </c>
      <c r="D3" s="10">
        <v>0.11763702909436201</v>
      </c>
      <c r="E3" s="10">
        <v>-0.87018046130416005</v>
      </c>
      <c r="F3" s="10">
        <v>0.43103921716037502</v>
      </c>
      <c r="G3" s="10">
        <v>0.6601475643598399</v>
      </c>
      <c r="H3" s="2" t="s">
        <v>1</v>
      </c>
      <c r="I3" s="4">
        <v>89</v>
      </c>
    </row>
    <row r="4" spans="1:9" x14ac:dyDescent="0.2">
      <c r="A4" s="7">
        <v>500</v>
      </c>
      <c r="B4" s="10">
        <f t="shared" si="0"/>
        <v>0.5</v>
      </c>
      <c r="C4" s="10">
        <v>9.0909090909090912E-2</v>
      </c>
      <c r="D4" s="10">
        <v>0.10625188379467601</v>
      </c>
      <c r="E4" s="10">
        <v>-2.09</v>
      </c>
      <c r="F4" s="10">
        <v>0.57371016288737398</v>
      </c>
      <c r="G4" s="10">
        <v>0.76101468514100112</v>
      </c>
      <c r="H4" s="2" t="s">
        <v>1</v>
      </c>
      <c r="I4" s="4">
        <v>129</v>
      </c>
    </row>
    <row r="5" spans="1:9" x14ac:dyDescent="0.2">
      <c r="A5" s="7">
        <v>551.80002248780102</v>
      </c>
      <c r="B5" s="10">
        <f t="shared" si="0"/>
        <v>0.55180002248780102</v>
      </c>
      <c r="C5" s="10">
        <v>6.1828991696401096E-2</v>
      </c>
      <c r="D5" s="10">
        <v>8.6643359344417401E-2</v>
      </c>
      <c r="E5" s="10">
        <v>-1.89227346629894</v>
      </c>
      <c r="F5" s="10">
        <v>0.52584062890167005</v>
      </c>
      <c r="G5" s="10">
        <v>0.72560896287442855</v>
      </c>
      <c r="H5" s="2" t="s">
        <v>1</v>
      </c>
      <c r="I5" s="4">
        <v>44</v>
      </c>
    </row>
    <row r="6" spans="1:9" x14ac:dyDescent="0.2">
      <c r="A6" s="7">
        <v>558.216072768093</v>
      </c>
      <c r="B6" s="10">
        <f t="shared" si="0"/>
        <v>0.55821607276809304</v>
      </c>
      <c r="C6" s="10">
        <v>6.1828991696401096E-2</v>
      </c>
      <c r="D6" s="10">
        <v>8.7139238804013502E-2</v>
      </c>
      <c r="E6" s="10">
        <v>-2.0358835430957001</v>
      </c>
      <c r="F6" s="10">
        <v>0.54687593126344303</v>
      </c>
      <c r="G6" s="10">
        <v>0.74099479363573006</v>
      </c>
      <c r="H6" s="2" t="s">
        <v>1</v>
      </c>
      <c r="I6" s="4">
        <v>56</v>
      </c>
    </row>
    <row r="7" spans="1:9" x14ac:dyDescent="0.2">
      <c r="A7" s="7">
        <v>578.96466442265296</v>
      </c>
      <c r="B7" s="10">
        <f t="shared" si="0"/>
        <v>0.57896466442265293</v>
      </c>
      <c r="C7" s="10">
        <v>6.1828991696401096E-2</v>
      </c>
      <c r="D7" s="10">
        <v>8.8762296129939494E-2</v>
      </c>
      <c r="E7" s="10">
        <v>-1.8455030165199799</v>
      </c>
      <c r="F7" s="10">
        <v>0.51914898392726905</v>
      </c>
      <c r="G7" s="10">
        <v>0.72077435270181178</v>
      </c>
      <c r="H7" s="2" t="s">
        <v>1</v>
      </c>
      <c r="I7" s="4">
        <v>45</v>
      </c>
    </row>
    <row r="8" spans="1:9" x14ac:dyDescent="0.2">
      <c r="A8" s="7">
        <v>601.45258916049897</v>
      </c>
      <c r="B8" s="10">
        <f t="shared" si="0"/>
        <v>0.60145258916049893</v>
      </c>
      <c r="C8" s="10">
        <v>6.1828991696401096E-2</v>
      </c>
      <c r="D8" s="10">
        <v>9.0553527485067301E-2</v>
      </c>
      <c r="E8" s="10">
        <v>-1.3489249904778999</v>
      </c>
      <c r="F8" s="10">
        <v>0.45394312127267</v>
      </c>
      <c r="G8" s="10">
        <v>0.67532537146976346</v>
      </c>
      <c r="H8" s="2" t="s">
        <v>1</v>
      </c>
      <c r="I8" s="4">
        <v>47</v>
      </c>
    </row>
    <row r="9" spans="1:9" x14ac:dyDescent="0.2">
      <c r="A9" s="7">
        <v>663.23096729250301</v>
      </c>
      <c r="B9" s="10">
        <f t="shared" si="0"/>
        <v>0.66323096729250297</v>
      </c>
      <c r="C9" s="10">
        <v>5.3234254365441498E-2</v>
      </c>
      <c r="D9" s="10">
        <v>9.031266334878571E-2</v>
      </c>
      <c r="E9" s="10">
        <v>-1.1686119064096001</v>
      </c>
      <c r="F9" s="10">
        <v>0.42043657268025802</v>
      </c>
      <c r="G9" s="10">
        <v>0.6532739943141177</v>
      </c>
      <c r="H9" s="2" t="s">
        <v>1</v>
      </c>
      <c r="I9" s="4">
        <v>91</v>
      </c>
    </row>
    <row r="10" spans="1:9" x14ac:dyDescent="0.2">
      <c r="A10" s="7">
        <v>678.33698469074102</v>
      </c>
      <c r="B10" s="10">
        <f t="shared" si="0"/>
        <v>0.678336984690741</v>
      </c>
      <c r="C10" s="10">
        <v>6.1828991696401096E-2</v>
      </c>
      <c r="D10" s="10">
        <v>9.69047527124728E-2</v>
      </c>
      <c r="E10" s="10">
        <v>-1.5333358932413399</v>
      </c>
      <c r="F10" s="10">
        <v>0.47678629448992299</v>
      </c>
      <c r="G10" s="10">
        <v>0.6908872343685557</v>
      </c>
      <c r="H10" s="2" t="s">
        <v>1</v>
      </c>
      <c r="I10" s="4">
        <v>57</v>
      </c>
    </row>
    <row r="11" spans="1:9" x14ac:dyDescent="0.2">
      <c r="A11" s="7">
        <v>680</v>
      </c>
      <c r="B11" s="10">
        <f t="shared" si="0"/>
        <v>0.68</v>
      </c>
      <c r="C11" s="10">
        <v>9.0909090909090912E-2</v>
      </c>
      <c r="D11" s="10">
        <v>0.117726389607077</v>
      </c>
      <c r="E11" s="10">
        <v>-2.37</v>
      </c>
      <c r="F11" s="10">
        <v>0.615707195832774</v>
      </c>
      <c r="G11" s="10">
        <v>0.79315531329006295</v>
      </c>
      <c r="H11" s="2" t="s">
        <v>1</v>
      </c>
      <c r="I11" s="4">
        <v>136</v>
      </c>
    </row>
    <row r="12" spans="1:9" x14ac:dyDescent="0.2">
      <c r="A12" s="7">
        <v>680.43736545063098</v>
      </c>
      <c r="B12" s="10">
        <f t="shared" si="0"/>
        <v>0.68043736545063094</v>
      </c>
      <c r="C12" s="10">
        <v>6.1828991696401096E-2</v>
      </c>
      <c r="D12" s="10">
        <v>9.7082767856301502E-2</v>
      </c>
      <c r="E12" s="10">
        <v>-2.0389950801426</v>
      </c>
      <c r="F12" s="10">
        <v>0.54733942816790804</v>
      </c>
      <c r="G12" s="10">
        <v>0.7413369339424366</v>
      </c>
      <c r="H12" s="2" t="s">
        <v>1</v>
      </c>
      <c r="I12" s="4">
        <v>43</v>
      </c>
    </row>
    <row r="13" spans="1:9" x14ac:dyDescent="0.2">
      <c r="A13" s="7">
        <v>773.25148299541104</v>
      </c>
      <c r="B13" s="10">
        <f t="shared" si="0"/>
        <v>0.77325148299541102</v>
      </c>
      <c r="C13" s="10">
        <v>6.1828991696401096E-2</v>
      </c>
      <c r="D13" s="10">
        <v>0.10515526744412</v>
      </c>
      <c r="E13" s="10">
        <v>-0.95350940863281297</v>
      </c>
      <c r="F13" s="10">
        <v>0.411883017187398</v>
      </c>
      <c r="G13" s="10">
        <v>0.64780214560264804</v>
      </c>
      <c r="H13" s="2" t="s">
        <v>1</v>
      </c>
      <c r="I13" s="4">
        <v>34</v>
      </c>
    </row>
    <row r="14" spans="1:9" x14ac:dyDescent="0.2">
      <c r="A14" s="7">
        <v>800.27117133063496</v>
      </c>
      <c r="B14" s="10">
        <f t="shared" si="0"/>
        <v>0.80027117133063497</v>
      </c>
      <c r="C14" s="10">
        <v>6.1828991696401096E-2</v>
      </c>
      <c r="D14" s="10">
        <v>0.107573579381346</v>
      </c>
      <c r="E14" s="10">
        <v>-1.1363806607537199</v>
      </c>
      <c r="F14" s="10">
        <v>0.40028296541165098</v>
      </c>
      <c r="G14" s="10">
        <v>0.64048922894826654</v>
      </c>
      <c r="H14" s="2" t="s">
        <v>1</v>
      </c>
      <c r="I14" s="4">
        <v>46</v>
      </c>
    </row>
    <row r="15" spans="1:9" x14ac:dyDescent="0.2">
      <c r="A15" s="7">
        <v>802.54406822153499</v>
      </c>
      <c r="B15" s="10">
        <f t="shared" si="0"/>
        <v>0.80254406822153501</v>
      </c>
      <c r="C15" s="10">
        <v>5.3234254365441498E-2</v>
      </c>
      <c r="D15" s="10">
        <v>0.10308839562840799</v>
      </c>
      <c r="E15" s="10">
        <v>-1.18975469111182</v>
      </c>
      <c r="F15" s="10">
        <v>0.39249587148903098</v>
      </c>
      <c r="G15" s="10">
        <v>0.63565164133818919</v>
      </c>
      <c r="H15" s="2" t="s">
        <v>1</v>
      </c>
      <c r="I15" s="4">
        <v>93</v>
      </c>
    </row>
    <row r="16" spans="1:9" x14ac:dyDescent="0.2">
      <c r="A16" s="7">
        <v>817.58219292998695</v>
      </c>
      <c r="B16" s="10">
        <f t="shared" si="0"/>
        <v>0.81758219292998691</v>
      </c>
      <c r="C16" s="10">
        <v>6.1828991696401096E-2</v>
      </c>
      <c r="D16" s="10">
        <v>0.10913732626726601</v>
      </c>
      <c r="E16" s="10">
        <v>-1.6109867494216199</v>
      </c>
      <c r="F16" s="10">
        <v>0.46085045776892097</v>
      </c>
      <c r="G16" s="10">
        <v>0.67998760608251085</v>
      </c>
      <c r="H16" s="2" t="s">
        <v>1</v>
      </c>
      <c r="I16" s="4">
        <v>32</v>
      </c>
    </row>
    <row r="17" spans="1:9" x14ac:dyDescent="0.2">
      <c r="A17" s="7">
        <v>833.10075286539404</v>
      </c>
      <c r="B17" s="10">
        <f t="shared" si="0"/>
        <v>0.83310075286539409</v>
      </c>
      <c r="C17" s="10">
        <v>6.1828991696401096E-2</v>
      </c>
      <c r="D17" s="10">
        <v>0.11054823505481601</v>
      </c>
      <c r="E17" s="10">
        <v>-1.3921093940526501</v>
      </c>
      <c r="F17" s="10">
        <v>0.43138237649877198</v>
      </c>
      <c r="G17" s="10">
        <v>0.66037167924868512</v>
      </c>
      <c r="H17" s="2" t="s">
        <v>1</v>
      </c>
      <c r="I17" s="4">
        <v>33</v>
      </c>
    </row>
    <row r="18" spans="1:9" x14ac:dyDescent="0.2">
      <c r="A18" s="7">
        <v>846.26825938151296</v>
      </c>
      <c r="B18" s="10">
        <f t="shared" si="0"/>
        <v>0.84626825938151296</v>
      </c>
      <c r="C18" s="10">
        <v>6.1828991696401096E-2</v>
      </c>
      <c r="D18" s="10">
        <v>0.111751871630486</v>
      </c>
      <c r="E18" s="10">
        <v>-1.09083423141543</v>
      </c>
      <c r="F18" s="10">
        <v>0.39518196437900599</v>
      </c>
      <c r="G18" s="10">
        <v>0.6373137257037933</v>
      </c>
      <c r="H18" s="2" t="s">
        <v>1</v>
      </c>
      <c r="I18" s="4">
        <v>65</v>
      </c>
    </row>
    <row r="19" spans="1:9" x14ac:dyDescent="0.2">
      <c r="A19" s="7">
        <v>853.65203317592295</v>
      </c>
      <c r="B19" s="10">
        <f t="shared" si="0"/>
        <v>0.85365203317592298</v>
      </c>
      <c r="C19" s="10">
        <v>5.3234254365441498E-2</v>
      </c>
      <c r="D19" s="10">
        <v>0.10794174142640001</v>
      </c>
      <c r="E19" s="10">
        <v>-1.0990321323616199</v>
      </c>
      <c r="F19" s="10">
        <v>0.38176854932480198</v>
      </c>
      <c r="G19" s="10">
        <v>0.62908443412117876</v>
      </c>
      <c r="H19" s="2" t="s">
        <v>1</v>
      </c>
      <c r="I19" s="4">
        <v>92</v>
      </c>
    </row>
    <row r="20" spans="1:9" x14ac:dyDescent="0.2">
      <c r="A20" s="7">
        <v>854.74494434321298</v>
      </c>
      <c r="B20" s="10">
        <f t="shared" si="0"/>
        <v>0.85474494434321302</v>
      </c>
      <c r="C20" s="10">
        <v>5.93430600733112E-2</v>
      </c>
      <c r="D20" s="10">
        <v>0.111183293301719</v>
      </c>
      <c r="E20" s="10">
        <v>-1.47788478314881</v>
      </c>
      <c r="F20" s="10">
        <v>0.426175025261045</v>
      </c>
      <c r="G20" s="10">
        <v>0.65698185070536941</v>
      </c>
      <c r="H20" s="2" t="s">
        <v>1</v>
      </c>
      <c r="I20" s="4">
        <v>64</v>
      </c>
    </row>
    <row r="21" spans="1:9" x14ac:dyDescent="0.2">
      <c r="A21" s="7">
        <v>880</v>
      </c>
      <c r="B21" s="10">
        <f t="shared" si="0"/>
        <v>0.88</v>
      </c>
      <c r="C21" s="10">
        <v>9.0909090909090912E-2</v>
      </c>
      <c r="D21" s="10">
        <v>0.13279571834180998</v>
      </c>
      <c r="E21" s="10">
        <v>-0.92</v>
      </c>
      <c r="F21" s="10">
        <v>0.40443411206308699</v>
      </c>
      <c r="G21" s="10">
        <v>0.64309171274419141</v>
      </c>
      <c r="H21" s="2" t="s">
        <v>1</v>
      </c>
      <c r="I21" s="4">
        <v>132</v>
      </c>
    </row>
    <row r="22" spans="1:9" x14ac:dyDescent="0.2">
      <c r="A22" s="7">
        <v>891.04806935775605</v>
      </c>
      <c r="B22" s="10">
        <f t="shared" si="0"/>
        <v>0.89104806935775605</v>
      </c>
      <c r="C22" s="10">
        <v>6.1828991696401096E-2</v>
      </c>
      <c r="D22" s="10">
        <v>0.115887103783201</v>
      </c>
      <c r="E22" s="10">
        <v>-1.02684617434023</v>
      </c>
      <c r="F22" s="10">
        <v>0.38826348628686402</v>
      </c>
      <c r="G22" s="10">
        <v>0.633047024148783</v>
      </c>
      <c r="H22" s="2" t="s">
        <v>1</v>
      </c>
      <c r="I22" s="4">
        <v>66</v>
      </c>
    </row>
    <row r="23" spans="1:9" x14ac:dyDescent="0.2">
      <c r="A23" s="7">
        <v>941.42809465745995</v>
      </c>
      <c r="B23" s="10">
        <f t="shared" si="0"/>
        <v>0.94142809465745991</v>
      </c>
      <c r="C23" s="10">
        <v>6.1828991696401096E-2</v>
      </c>
      <c r="D23" s="10">
        <v>0.120610510275262</v>
      </c>
      <c r="E23" s="10">
        <v>-1.4232857956865099</v>
      </c>
      <c r="F23" s="10">
        <v>0.43543278517064199</v>
      </c>
      <c r="G23" s="10">
        <v>0.66302466801881699</v>
      </c>
      <c r="H23" s="2" t="s">
        <v>1</v>
      </c>
      <c r="I23" s="4">
        <v>36</v>
      </c>
    </row>
    <row r="24" spans="1:9" x14ac:dyDescent="0.2">
      <c r="A24" s="7">
        <v>944.18210564136996</v>
      </c>
      <c r="B24" s="10">
        <f t="shared" si="0"/>
        <v>0.94418210564136995</v>
      </c>
      <c r="C24" s="10">
        <v>5.3234254365441498E-2</v>
      </c>
      <c r="D24" s="10">
        <v>0.11670814884174201</v>
      </c>
      <c r="E24" s="10">
        <v>-1.0578697457330799</v>
      </c>
      <c r="F24" s="10">
        <v>0.37708871117089299</v>
      </c>
      <c r="G24" s="10">
        <v>0.62625545593832965</v>
      </c>
      <c r="H24" s="2" t="s">
        <v>1</v>
      </c>
      <c r="I24" s="4">
        <v>96</v>
      </c>
    </row>
    <row r="25" spans="1:9" x14ac:dyDescent="0.2">
      <c r="A25" s="7">
        <v>958.53780072018003</v>
      </c>
      <c r="B25" s="10">
        <f t="shared" si="0"/>
        <v>0.95853780072018002</v>
      </c>
      <c r="C25" s="10">
        <v>6.1828991696401096E-2</v>
      </c>
      <c r="D25" s="10">
        <v>0.12223027558935</v>
      </c>
      <c r="E25" s="10">
        <v>-1.83854137019412</v>
      </c>
      <c r="F25" s="10">
        <v>0.49374222722991201</v>
      </c>
      <c r="G25" s="10">
        <v>0.70269579972414387</v>
      </c>
      <c r="H25" s="2" t="s">
        <v>1</v>
      </c>
      <c r="I25" s="4">
        <v>54</v>
      </c>
    </row>
    <row r="26" spans="1:9" x14ac:dyDescent="0.2">
      <c r="A26" s="7">
        <v>1003.55152785143</v>
      </c>
      <c r="B26" s="10">
        <f t="shared" si="0"/>
        <v>1.00355152785143</v>
      </c>
      <c r="C26" s="10">
        <v>5.3234254365441498E-2</v>
      </c>
      <c r="D26" s="10">
        <v>0.12255605017046299</v>
      </c>
      <c r="E26" s="10">
        <v>-1.3070025028244501</v>
      </c>
      <c r="F26" s="10">
        <v>0.40713951150754901</v>
      </c>
      <c r="G26" s="10">
        <v>0.64479654297352251</v>
      </c>
      <c r="H26" s="2" t="s">
        <v>1</v>
      </c>
      <c r="I26" s="4">
        <v>90</v>
      </c>
    </row>
    <row r="27" spans="1:9" x14ac:dyDescent="0.2">
      <c r="A27" s="7">
        <v>1031.52331731187</v>
      </c>
      <c r="B27" s="10">
        <f t="shared" si="0"/>
        <v>1.0315233173118699</v>
      </c>
      <c r="C27" s="10">
        <v>5.3234254365441498E-2</v>
      </c>
      <c r="D27" s="10">
        <v>0.12533464853406401</v>
      </c>
      <c r="E27" s="10">
        <v>-1.3896950304222999</v>
      </c>
      <c r="F27" s="10">
        <v>0.41795029756927798</v>
      </c>
      <c r="G27" s="10">
        <v>0.65167664622744303</v>
      </c>
      <c r="H27" s="2" t="s">
        <v>1</v>
      </c>
      <c r="I27" s="4">
        <v>94</v>
      </c>
    </row>
    <row r="28" spans="1:9" x14ac:dyDescent="0.2">
      <c r="A28" s="7">
        <v>1043.48514437104</v>
      </c>
      <c r="B28" s="10">
        <f t="shared" si="0"/>
        <v>1.04348514437104</v>
      </c>
      <c r="C28" s="10">
        <v>6.1828991696401096E-2</v>
      </c>
      <c r="D28" s="10">
        <v>0.130376551945212</v>
      </c>
      <c r="E28" s="10">
        <v>-1.30800198054148</v>
      </c>
      <c r="F28" s="10">
        <v>0.42072173630246401</v>
      </c>
      <c r="G28" s="10">
        <v>0.65345755745676404</v>
      </c>
      <c r="H28" s="2" t="s">
        <v>1</v>
      </c>
      <c r="I28" s="4">
        <v>38</v>
      </c>
    </row>
    <row r="29" spans="1:9" x14ac:dyDescent="0.2">
      <c r="A29" s="7">
        <v>1083.9061606543</v>
      </c>
      <c r="B29" s="10">
        <f t="shared" si="0"/>
        <v>1.0839061606543001</v>
      </c>
      <c r="C29" s="10">
        <v>6.1828991696401096E-2</v>
      </c>
      <c r="D29" s="10">
        <v>0.134307632887919</v>
      </c>
      <c r="E29" s="10">
        <v>-2.17740696076463</v>
      </c>
      <c r="F29" s="10">
        <v>0.54609161783055504</v>
      </c>
      <c r="G29" s="10">
        <v>0.74041613641572734</v>
      </c>
      <c r="H29" s="2" t="s">
        <v>1</v>
      </c>
      <c r="I29" s="4">
        <v>53</v>
      </c>
    </row>
    <row r="30" spans="1:9" x14ac:dyDescent="0.2">
      <c r="A30" s="7">
        <v>1143.4573761888601</v>
      </c>
      <c r="B30" s="10">
        <f t="shared" si="0"/>
        <v>1.14345737618886</v>
      </c>
      <c r="C30" s="10">
        <v>6.1828991696401096E-2</v>
      </c>
      <c r="D30" s="10">
        <v>0.14015531008576901</v>
      </c>
      <c r="E30" s="10">
        <v>-1.2169691746844999</v>
      </c>
      <c r="F30" s="10">
        <v>0.40964932691099798</v>
      </c>
      <c r="G30" s="10">
        <v>0.64638422864317602</v>
      </c>
      <c r="H30" s="2" t="s">
        <v>1</v>
      </c>
      <c r="I30" s="4">
        <v>31</v>
      </c>
    </row>
    <row r="31" spans="1:9" x14ac:dyDescent="0.2">
      <c r="A31" s="7">
        <v>1157.8343100258901</v>
      </c>
      <c r="B31" s="10">
        <f t="shared" si="0"/>
        <v>1.1578343100258901</v>
      </c>
      <c r="C31" s="10">
        <v>6.1828991696401096E-2</v>
      </c>
      <c r="D31" s="10">
        <v>0.14157628938780201</v>
      </c>
      <c r="E31" s="10">
        <v>-1.3337902489857201</v>
      </c>
      <c r="F31" s="10">
        <v>0.42394795586831002</v>
      </c>
      <c r="G31" s="10">
        <v>0.65553937279534824</v>
      </c>
      <c r="H31" s="2" t="s">
        <v>1</v>
      </c>
      <c r="I31" s="4">
        <v>55</v>
      </c>
    </row>
    <row r="32" spans="1:9" x14ac:dyDescent="0.2">
      <c r="A32" s="7">
        <v>1163.2172555933</v>
      </c>
      <c r="B32" s="10">
        <f t="shared" si="0"/>
        <v>1.1632172555933</v>
      </c>
      <c r="C32" s="10">
        <v>5.93430600733112E-2</v>
      </c>
      <c r="D32" s="10">
        <v>0.14104537859056501</v>
      </c>
      <c r="E32" s="10">
        <v>-1.54773421781551</v>
      </c>
      <c r="F32" s="10">
        <v>0.435980117924682</v>
      </c>
      <c r="G32" s="10">
        <v>0.66338425005845569</v>
      </c>
      <c r="H32" s="2" t="s">
        <v>1</v>
      </c>
      <c r="I32" s="4">
        <v>67</v>
      </c>
    </row>
    <row r="33" spans="1:9" x14ac:dyDescent="0.2">
      <c r="A33" s="7">
        <v>1201.75207448131</v>
      </c>
      <c r="B33" s="10">
        <f t="shared" si="0"/>
        <v>1.2017520744813099</v>
      </c>
      <c r="C33" s="10">
        <v>5.3234254365441498E-2</v>
      </c>
      <c r="D33" s="10">
        <v>0.14250895840240402</v>
      </c>
      <c r="E33" s="10">
        <v>-0.43024819112869001</v>
      </c>
      <c r="F33" s="10">
        <v>0.26372108443165998</v>
      </c>
      <c r="G33" s="10">
        <v>0.56528648522126435</v>
      </c>
      <c r="H33" s="2" t="s">
        <v>1</v>
      </c>
      <c r="I33" s="4">
        <v>95</v>
      </c>
    </row>
    <row r="34" spans="1:9" x14ac:dyDescent="0.2">
      <c r="A34" s="7">
        <v>1277.06968710612</v>
      </c>
      <c r="B34" s="10">
        <f t="shared" ref="B34:B65" si="1">A34/1000</f>
        <v>1.27706968710612</v>
      </c>
      <c r="C34" s="10">
        <v>5.93430600733112E-2</v>
      </c>
      <c r="D34" s="10">
        <v>0.15249778131547001</v>
      </c>
      <c r="E34" s="10">
        <v>-1.39998439305089</v>
      </c>
      <c r="F34" s="10">
        <v>0.37063402015624902</v>
      </c>
      <c r="G34" s="10">
        <v>0.62239021272605399</v>
      </c>
      <c r="H34" s="2" t="s">
        <v>1</v>
      </c>
      <c r="I34" s="4">
        <v>37</v>
      </c>
    </row>
    <row r="35" spans="1:9" x14ac:dyDescent="0.2">
      <c r="A35" s="7">
        <v>1309.56115097065</v>
      </c>
      <c r="B35" s="10">
        <f t="shared" si="1"/>
        <v>1.30956115097065</v>
      </c>
      <c r="C35" s="10">
        <v>6.1828991696401096E-2</v>
      </c>
      <c r="D35" s="10">
        <v>0.15676008469181701</v>
      </c>
      <c r="E35" s="10">
        <v>-1.63783749997037</v>
      </c>
      <c r="F35" s="10">
        <v>0.424952219909145</v>
      </c>
      <c r="G35" s="10">
        <v>0.65618929372987356</v>
      </c>
      <c r="H35" s="2" t="s">
        <v>1</v>
      </c>
      <c r="I35" s="4">
        <v>42</v>
      </c>
    </row>
    <row r="36" spans="1:9" x14ac:dyDescent="0.2">
      <c r="A36" s="7">
        <v>1374.87174358989</v>
      </c>
      <c r="B36" s="10">
        <f t="shared" si="1"/>
        <v>1.3748717435898901</v>
      </c>
      <c r="C36" s="10">
        <v>5.93430600733112E-2</v>
      </c>
      <c r="D36" s="10">
        <v>0.16246197630787199</v>
      </c>
      <c r="E36" s="10">
        <v>-1.1812631821769299</v>
      </c>
      <c r="F36" s="10">
        <v>0.33880176075163898</v>
      </c>
      <c r="G36" s="10">
        <v>0.60397568915347144</v>
      </c>
      <c r="H36" s="2" t="s">
        <v>1</v>
      </c>
      <c r="I36" s="4">
        <v>68</v>
      </c>
    </row>
    <row r="37" spans="1:9" x14ac:dyDescent="0.2">
      <c r="A37" s="7">
        <v>1380</v>
      </c>
      <c r="B37" s="10">
        <f t="shared" si="1"/>
        <v>1.38</v>
      </c>
      <c r="C37" s="10">
        <v>9.0909090909090912E-2</v>
      </c>
      <c r="D37" s="10">
        <v>0.17693982821828799</v>
      </c>
      <c r="E37" s="10">
        <v>-1.05</v>
      </c>
      <c r="F37" s="10">
        <v>0.37218659433173801</v>
      </c>
      <c r="G37" s="10">
        <v>0.62331602016975118</v>
      </c>
      <c r="H37" s="2" t="s">
        <v>1</v>
      </c>
      <c r="I37" s="4">
        <v>127</v>
      </c>
    </row>
    <row r="38" spans="1:9" x14ac:dyDescent="0.2">
      <c r="A38" s="7">
        <v>1384.2938471636701</v>
      </c>
      <c r="B38" s="10">
        <f t="shared" si="1"/>
        <v>1.3842938471636701</v>
      </c>
      <c r="C38" s="10">
        <v>5.93430600733112E-2</v>
      </c>
      <c r="D38" s="10">
        <v>0.16342722902850801</v>
      </c>
      <c r="E38" s="10">
        <v>-1.2168587872098999</v>
      </c>
      <c r="F38" s="10">
        <v>0.34380392258689801</v>
      </c>
      <c r="G38" s="10">
        <v>0.60679579529371974</v>
      </c>
      <c r="H38" s="2" t="s">
        <v>1</v>
      </c>
      <c r="I38" s="4">
        <v>78</v>
      </c>
    </row>
    <row r="39" spans="1:9" x14ac:dyDescent="0.2">
      <c r="A39" s="7">
        <v>1410</v>
      </c>
      <c r="B39" s="10">
        <f t="shared" si="1"/>
        <v>1.41</v>
      </c>
      <c r="C39" s="10">
        <v>9.0909090909090912E-2</v>
      </c>
      <c r="D39" s="10">
        <v>0.17977895541446798</v>
      </c>
      <c r="E39" s="10">
        <v>-0.73</v>
      </c>
      <c r="F39" s="10">
        <v>0.34020414606564903</v>
      </c>
      <c r="G39" s="10">
        <v>0.60476347525314178</v>
      </c>
      <c r="H39" s="2" t="s">
        <v>1</v>
      </c>
      <c r="I39" s="4">
        <v>135</v>
      </c>
    </row>
    <row r="40" spans="1:9" x14ac:dyDescent="0.2">
      <c r="A40" s="7">
        <v>1421.20009186372</v>
      </c>
      <c r="B40" s="10">
        <f t="shared" si="1"/>
        <v>1.42120009186372</v>
      </c>
      <c r="C40" s="10">
        <v>5.93430600733112E-2</v>
      </c>
      <c r="D40" s="10">
        <v>0.16721631547889501</v>
      </c>
      <c r="E40" s="10">
        <v>-1.33457240425172</v>
      </c>
      <c r="F40" s="10">
        <v>0.36085269148691301</v>
      </c>
      <c r="G40" s="10">
        <v>0.61661549198292875</v>
      </c>
      <c r="H40" s="2" t="s">
        <v>1</v>
      </c>
      <c r="I40" s="4">
        <v>73</v>
      </c>
    </row>
    <row r="41" spans="1:9" x14ac:dyDescent="0.2">
      <c r="A41" s="7">
        <v>1429.4909633227901</v>
      </c>
      <c r="B41" s="10">
        <f t="shared" si="1"/>
        <v>1.4294909633227901</v>
      </c>
      <c r="C41" s="10">
        <v>6.1828991696401096E-2</v>
      </c>
      <c r="D41" s="10">
        <v>0.16896301851669801</v>
      </c>
      <c r="E41" s="10">
        <v>-1.4267964309052601</v>
      </c>
      <c r="F41" s="10">
        <v>0.393336807790858</v>
      </c>
      <c r="G41" s="10">
        <v>0.63617123823944</v>
      </c>
      <c r="H41" s="2" t="s">
        <v>1</v>
      </c>
      <c r="I41" s="4">
        <v>39</v>
      </c>
    </row>
    <row r="42" spans="1:9" x14ac:dyDescent="0.2">
      <c r="A42" s="7">
        <v>1507.1805347940999</v>
      </c>
      <c r="B42" s="10">
        <f t="shared" si="1"/>
        <v>1.5071805347940999</v>
      </c>
      <c r="C42" s="10">
        <v>6.1828991696401096E-2</v>
      </c>
      <c r="D42" s="10">
        <v>0.176943780631552</v>
      </c>
      <c r="E42" s="10">
        <v>-0.115369324026782</v>
      </c>
      <c r="F42" s="10">
        <v>0.27169159977886398</v>
      </c>
      <c r="G42" s="10">
        <v>0.56904861425927256</v>
      </c>
      <c r="H42" s="2" t="s">
        <v>1</v>
      </c>
      <c r="I42" s="4">
        <v>59</v>
      </c>
    </row>
    <row r="43" spans="1:9" x14ac:dyDescent="0.2">
      <c r="A43" s="7">
        <v>1521.2969073531999</v>
      </c>
      <c r="B43" s="10">
        <f t="shared" si="1"/>
        <v>1.5212969073531999</v>
      </c>
      <c r="C43" s="10">
        <v>5.93430600733112E-2</v>
      </c>
      <c r="D43" s="10">
        <v>0.17755327248678299</v>
      </c>
      <c r="E43" s="10">
        <v>-0.97756700510875905</v>
      </c>
      <c r="F43" s="10">
        <v>0.31176403712556799</v>
      </c>
      <c r="G43" s="10">
        <v>0.5892340917197787</v>
      </c>
      <c r="H43" s="2" t="s">
        <v>1</v>
      </c>
      <c r="I43" s="4">
        <v>74</v>
      </c>
    </row>
    <row r="44" spans="1:9" x14ac:dyDescent="0.2">
      <c r="A44" s="7">
        <v>1550</v>
      </c>
      <c r="B44" s="10">
        <f t="shared" si="1"/>
        <v>1.55</v>
      </c>
      <c r="C44" s="10">
        <v>9.0909090909090912E-2</v>
      </c>
      <c r="D44" s="10">
        <v>0.193221926317686</v>
      </c>
      <c r="E44" s="10">
        <v>-0.98</v>
      </c>
      <c r="F44" s="10">
        <v>0.364470658627355</v>
      </c>
      <c r="G44" s="10">
        <v>0.61873973607669475</v>
      </c>
      <c r="H44" s="2" t="s">
        <v>1</v>
      </c>
      <c r="I44" s="4">
        <v>134</v>
      </c>
    </row>
    <row r="45" spans="1:9" x14ac:dyDescent="0.2">
      <c r="A45" s="7">
        <v>1602.9531498414201</v>
      </c>
      <c r="B45" s="10">
        <f t="shared" si="1"/>
        <v>1.60295314984142</v>
      </c>
      <c r="C45" s="10">
        <v>5.93430600733112E-2</v>
      </c>
      <c r="D45" s="10">
        <v>0.18604314087318999</v>
      </c>
      <c r="E45" s="10">
        <v>-0.43481555216728901</v>
      </c>
      <c r="F45" s="10">
        <v>0.25794167449639099</v>
      </c>
      <c r="G45" s="10">
        <v>0.56261346183858962</v>
      </c>
      <c r="H45" s="2" t="s">
        <v>1</v>
      </c>
      <c r="I45" s="4">
        <v>69</v>
      </c>
    </row>
    <row r="46" spans="1:9" x14ac:dyDescent="0.2">
      <c r="A46" s="7">
        <v>1610</v>
      </c>
      <c r="B46" s="10">
        <f t="shared" si="1"/>
        <v>1.61</v>
      </c>
      <c r="C46" s="10">
        <v>9.0909090909090912E-2</v>
      </c>
      <c r="D46" s="10">
        <v>0.19907001986717501</v>
      </c>
      <c r="E46" s="10">
        <v>-0.43</v>
      </c>
      <c r="F46" s="10">
        <v>0.31909067833494897</v>
      </c>
      <c r="G46" s="10">
        <v>0.5931432044626811</v>
      </c>
      <c r="H46" s="2" t="s">
        <v>1</v>
      </c>
      <c r="I46" s="4">
        <v>138</v>
      </c>
    </row>
    <row r="47" spans="1:9" x14ac:dyDescent="0.2">
      <c r="A47" s="7">
        <v>1623.70991459622</v>
      </c>
      <c r="B47" s="10">
        <f t="shared" si="1"/>
        <v>1.6237099145962199</v>
      </c>
      <c r="C47" s="10">
        <v>6.1828991696401096E-2</v>
      </c>
      <c r="D47" s="10">
        <v>0.18900707458708102</v>
      </c>
      <c r="E47" s="10">
        <v>-0.86493138657195401</v>
      </c>
      <c r="F47" s="10">
        <v>0.321260290562705</v>
      </c>
      <c r="G47" s="10">
        <v>0.59431319545542116</v>
      </c>
      <c r="H47" s="2" t="s">
        <v>1</v>
      </c>
      <c r="I47" s="4">
        <v>40</v>
      </c>
    </row>
    <row r="48" spans="1:9" x14ac:dyDescent="0.2">
      <c r="A48" s="7">
        <v>1647.2212021544799</v>
      </c>
      <c r="B48" s="10">
        <f t="shared" si="1"/>
        <v>1.6472212021544799</v>
      </c>
      <c r="C48" s="10">
        <v>6.1828991696401096E-2</v>
      </c>
      <c r="D48" s="10">
        <v>0.191452893028555</v>
      </c>
      <c r="E48" s="10">
        <v>-1.3259296498366899</v>
      </c>
      <c r="F48" s="10">
        <v>0.37895580165236198</v>
      </c>
      <c r="G48" s="10">
        <v>0.62738146259352001</v>
      </c>
      <c r="H48" s="2" t="s">
        <v>1</v>
      </c>
      <c r="I48" s="4">
        <v>41</v>
      </c>
    </row>
    <row r="49" spans="1:9" x14ac:dyDescent="0.2">
      <c r="A49" s="7">
        <v>1674.4899622546</v>
      </c>
      <c r="B49" s="10">
        <f t="shared" si="1"/>
        <v>1.6744899622545999</v>
      </c>
      <c r="C49" s="10">
        <v>5.93430600733112E-2</v>
      </c>
      <c r="D49" s="10">
        <v>0.19351741535719902</v>
      </c>
      <c r="E49" s="10">
        <v>-0.590595392793825</v>
      </c>
      <c r="F49" s="10">
        <v>0.27004340685399397</v>
      </c>
      <c r="G49" s="10">
        <v>0.56826353181012035</v>
      </c>
      <c r="H49" s="2" t="s">
        <v>1</v>
      </c>
      <c r="I49" s="4">
        <v>75</v>
      </c>
    </row>
    <row r="50" spans="1:9" x14ac:dyDescent="0.2">
      <c r="A50" s="7">
        <v>1712.3774776994401</v>
      </c>
      <c r="B50" s="10">
        <f t="shared" si="1"/>
        <v>1.71237747769944</v>
      </c>
      <c r="C50" s="10">
        <v>5.93430600733112E-2</v>
      </c>
      <c r="D50" s="10">
        <v>0.19748838435479102</v>
      </c>
      <c r="E50" s="10">
        <v>1.6482020606778398E-2</v>
      </c>
      <c r="F50" s="10">
        <v>0.242862494316993</v>
      </c>
      <c r="G50" s="10">
        <v>0.55586166547610694</v>
      </c>
      <c r="H50" s="2" t="s">
        <v>1</v>
      </c>
      <c r="I50" s="4">
        <v>76</v>
      </c>
    </row>
    <row r="51" spans="1:9" x14ac:dyDescent="0.2">
      <c r="A51" s="7">
        <v>1833.2346104774199</v>
      </c>
      <c r="B51" s="10">
        <f t="shared" si="1"/>
        <v>1.83323461047742</v>
      </c>
      <c r="C51" s="10">
        <v>6.1828991696401096E-2</v>
      </c>
      <c r="D51" s="10">
        <v>0.21092152278164097</v>
      </c>
      <c r="E51" s="10">
        <v>-0.86615374092457997</v>
      </c>
      <c r="F51" s="10">
        <v>0.32139199471991903</v>
      </c>
      <c r="G51" s="10">
        <v>0.59438439941678178</v>
      </c>
      <c r="H51" s="2" t="s">
        <v>1</v>
      </c>
      <c r="I51" s="4">
        <v>77</v>
      </c>
    </row>
    <row r="52" spans="1:9" x14ac:dyDescent="0.2">
      <c r="A52" s="7">
        <v>1847.39318065565</v>
      </c>
      <c r="B52" s="10">
        <f t="shared" si="1"/>
        <v>1.8473931806556501</v>
      </c>
      <c r="C52" s="10">
        <v>6.1828991696401096E-2</v>
      </c>
      <c r="D52" s="10">
        <v>0.21241103817312099</v>
      </c>
      <c r="E52" s="10">
        <v>-0.74898337492068701</v>
      </c>
      <c r="F52" s="10">
        <v>0.30939128298910701</v>
      </c>
      <c r="G52" s="10">
        <v>0.58798211366473185</v>
      </c>
      <c r="H52" s="2" t="s">
        <v>1</v>
      </c>
      <c r="I52" s="4">
        <v>60</v>
      </c>
    </row>
    <row r="53" spans="1:9" x14ac:dyDescent="0.2">
      <c r="A53" s="7">
        <v>1871.43036907548</v>
      </c>
      <c r="B53" s="10">
        <f t="shared" si="1"/>
        <v>1.8714303690754801</v>
      </c>
      <c r="C53" s="10">
        <v>5.93430600733112E-2</v>
      </c>
      <c r="D53" s="10">
        <v>0.21424015369923199</v>
      </c>
      <c r="E53" s="10">
        <v>-0.50949122193899599</v>
      </c>
      <c r="F53" s="10">
        <v>0.263352571802623</v>
      </c>
      <c r="G53" s="10">
        <v>0.56511465834382291</v>
      </c>
      <c r="H53" s="2" t="s">
        <v>1</v>
      </c>
      <c r="I53" s="4">
        <v>72</v>
      </c>
    </row>
    <row r="54" spans="1:9" x14ac:dyDescent="0.2">
      <c r="A54" s="7">
        <v>1871.7609318832499</v>
      </c>
      <c r="B54" s="10">
        <f t="shared" si="1"/>
        <v>1.87176093188325</v>
      </c>
      <c r="C54" s="10">
        <v>5.93430600733112E-2</v>
      </c>
      <c r="D54" s="10">
        <v>0.21427509307189799</v>
      </c>
      <c r="E54" s="10">
        <v>-0.21943901481535899</v>
      </c>
      <c r="F54" s="10">
        <v>0.24677411556860199</v>
      </c>
      <c r="G54" s="10">
        <v>0.55758180037969829</v>
      </c>
      <c r="H54" s="2" t="s">
        <v>1</v>
      </c>
      <c r="I54" s="4">
        <v>70</v>
      </c>
    </row>
    <row r="55" spans="1:9" x14ac:dyDescent="0.2">
      <c r="A55" s="7">
        <v>1900</v>
      </c>
      <c r="B55" s="10">
        <f t="shared" si="1"/>
        <v>1.9</v>
      </c>
      <c r="C55" s="10">
        <v>9.0909090909090912E-2</v>
      </c>
      <c r="D55" s="10">
        <v>0.22791547294976999</v>
      </c>
      <c r="E55" s="10">
        <v>-0.97</v>
      </c>
      <c r="F55" s="10">
        <v>0.36339903824894398</v>
      </c>
      <c r="G55" s="10">
        <v>0.61810910121131324</v>
      </c>
      <c r="H55" s="2" t="s">
        <v>1</v>
      </c>
      <c r="I55" s="4">
        <v>130</v>
      </c>
    </row>
    <row r="56" spans="1:9" x14ac:dyDescent="0.2">
      <c r="A56" s="7">
        <v>1926.6562712921</v>
      </c>
      <c r="B56" s="10">
        <f t="shared" si="1"/>
        <v>1.9266562712921</v>
      </c>
      <c r="C56" s="10">
        <v>5.93430600733112E-2</v>
      </c>
      <c r="D56" s="10">
        <v>0.22008373831372799</v>
      </c>
      <c r="E56" s="10">
        <v>-0.35851374725170998</v>
      </c>
      <c r="F56" s="10">
        <v>0.25320467836214799</v>
      </c>
      <c r="G56" s="10">
        <v>0.56045749985567939</v>
      </c>
      <c r="H56" s="2" t="s">
        <v>1</v>
      </c>
      <c r="I56" s="4">
        <v>71</v>
      </c>
    </row>
    <row r="57" spans="1:9" x14ac:dyDescent="0.2">
      <c r="A57" s="7">
        <v>1970</v>
      </c>
      <c r="B57" s="10">
        <f t="shared" si="1"/>
        <v>1.97</v>
      </c>
      <c r="C57" s="10">
        <v>9.0909090909090912E-2</v>
      </c>
      <c r="D57" s="10">
        <v>0.23499649531411601</v>
      </c>
      <c r="E57" s="10">
        <v>-1.1200000000000001</v>
      </c>
      <c r="F57" s="10">
        <v>0.38026156918660298</v>
      </c>
      <c r="G57" s="10">
        <v>0.62817104438222693</v>
      </c>
      <c r="H57" s="2" t="s">
        <v>1</v>
      </c>
      <c r="I57" s="4">
        <v>137</v>
      </c>
    </row>
    <row r="58" spans="1:9" x14ac:dyDescent="0.2">
      <c r="A58" s="7">
        <v>1983.72236931253</v>
      </c>
      <c r="B58" s="10">
        <f t="shared" si="1"/>
        <v>1.9837223693125299</v>
      </c>
      <c r="C58" s="10">
        <v>6.1828991696401096E-2</v>
      </c>
      <c r="D58" s="10">
        <v>0.22679989620847602</v>
      </c>
      <c r="E58" s="10">
        <v>-0.37405524463352002</v>
      </c>
      <c r="F58" s="10">
        <v>0.28085693011719698</v>
      </c>
      <c r="G58" s="10">
        <v>0.57348113761034558</v>
      </c>
      <c r="H58" s="2" t="s">
        <v>1</v>
      </c>
      <c r="I58" s="4">
        <v>51</v>
      </c>
    </row>
    <row r="59" spans="1:9" x14ac:dyDescent="0.2">
      <c r="A59" s="7">
        <v>2008.8826578032199</v>
      </c>
      <c r="B59" s="10">
        <f t="shared" si="1"/>
        <v>2.0088826578032197</v>
      </c>
      <c r="C59" s="10">
        <v>6.1828991696401096E-2</v>
      </c>
      <c r="D59" s="10">
        <v>0.22946393956643002</v>
      </c>
      <c r="E59" s="10">
        <v>-1.3058572125735901</v>
      </c>
      <c r="F59" s="10">
        <v>0.37615747305956998</v>
      </c>
      <c r="G59" s="10">
        <v>0.62569516902287259</v>
      </c>
      <c r="H59" s="2" t="s">
        <v>1</v>
      </c>
      <c r="I59" s="4">
        <v>58</v>
      </c>
    </row>
    <row r="60" spans="1:9" x14ac:dyDescent="0.2">
      <c r="A60" s="7">
        <v>2010</v>
      </c>
      <c r="B60" s="10">
        <f t="shared" si="1"/>
        <v>2.0099999999999998</v>
      </c>
      <c r="C60" s="10">
        <v>9.0909090909090912E-2</v>
      </c>
      <c r="D60" s="10">
        <v>0.23905997743226998</v>
      </c>
      <c r="E60" s="10">
        <v>-0.63</v>
      </c>
      <c r="F60" s="10">
        <v>0.33211272333389702</v>
      </c>
      <c r="G60" s="10">
        <v>0.60024899916639396</v>
      </c>
      <c r="H60" s="2" t="s">
        <v>1</v>
      </c>
      <c r="I60" s="4">
        <v>139</v>
      </c>
    </row>
    <row r="61" spans="1:9" x14ac:dyDescent="0.2">
      <c r="A61" s="7">
        <v>2015.5950392316799</v>
      </c>
      <c r="B61" s="10">
        <f t="shared" si="1"/>
        <v>2.0155950392316799</v>
      </c>
      <c r="C61" s="10">
        <v>6.1828991696401096E-2</v>
      </c>
      <c r="D61" s="10">
        <v>0.23017507879115801</v>
      </c>
      <c r="E61" s="10">
        <v>-0.573959156925263</v>
      </c>
      <c r="F61" s="10">
        <v>0.29404266137089202</v>
      </c>
      <c r="G61" s="10">
        <v>0.58005265856306276</v>
      </c>
      <c r="H61" s="2" t="s">
        <v>1</v>
      </c>
      <c r="I61" s="4">
        <v>50</v>
      </c>
    </row>
    <row r="62" spans="1:9" x14ac:dyDescent="0.2">
      <c r="A62" s="7">
        <v>2080.41959469427</v>
      </c>
      <c r="B62" s="10">
        <f t="shared" si="1"/>
        <v>2.0804195946942698</v>
      </c>
      <c r="C62" s="10">
        <v>6.1828991696401096E-2</v>
      </c>
      <c r="D62" s="10">
        <v>0.23705144391681501</v>
      </c>
      <c r="E62" s="10">
        <v>-0.77854090072326798</v>
      </c>
      <c r="F62" s="10">
        <v>0.31229626881745198</v>
      </c>
      <c r="G62" s="10">
        <v>0.58951586875783268</v>
      </c>
      <c r="H62" s="2" t="s">
        <v>1</v>
      </c>
      <c r="I62" s="4">
        <v>52</v>
      </c>
    </row>
    <row r="63" spans="1:9" x14ac:dyDescent="0.2">
      <c r="A63" s="7">
        <v>2171.7415372645601</v>
      </c>
      <c r="B63" s="10">
        <f t="shared" si="1"/>
        <v>2.1717415372645599</v>
      </c>
      <c r="C63" s="10">
        <v>5.93430600733112E-2</v>
      </c>
      <c r="D63" s="10">
        <v>0.246151946093252</v>
      </c>
      <c r="E63" s="10">
        <v>-0.27155832313618999</v>
      </c>
      <c r="F63" s="10">
        <v>0.24883946990042</v>
      </c>
      <c r="G63" s="10">
        <v>0.55849895414434036</v>
      </c>
      <c r="H63" s="2" t="s">
        <v>1</v>
      </c>
      <c r="I63" s="4">
        <v>62</v>
      </c>
    </row>
    <row r="64" spans="1:9" x14ac:dyDescent="0.2">
      <c r="A64" s="7">
        <v>2206.7579916218801</v>
      </c>
      <c r="B64" s="10">
        <f t="shared" si="1"/>
        <v>2.2067579916218802</v>
      </c>
      <c r="C64" s="10">
        <v>5.93430600733112E-2</v>
      </c>
      <c r="D64" s="10">
        <v>0.24989187034649099</v>
      </c>
      <c r="E64" s="10">
        <v>-5.2496644857624702E-2</v>
      </c>
      <c r="F64" s="10">
        <v>0.24306698824520101</v>
      </c>
      <c r="G64" s="10">
        <v>0.55595104170654519</v>
      </c>
      <c r="H64" s="2" t="s">
        <v>1</v>
      </c>
      <c r="I64" s="4">
        <v>79</v>
      </c>
    </row>
    <row r="65" spans="1:9" x14ac:dyDescent="0.2">
      <c r="A65" s="7">
        <v>2260</v>
      </c>
      <c r="B65" s="10">
        <f t="shared" si="1"/>
        <v>2.2599999999999998</v>
      </c>
      <c r="C65" s="10">
        <v>9.0909090909090912E-2</v>
      </c>
      <c r="D65" s="10">
        <v>0.26470062865417904</v>
      </c>
      <c r="E65" s="10">
        <v>-0.53</v>
      </c>
      <c r="F65" s="10">
        <v>0.32505208967219001</v>
      </c>
      <c r="G65" s="10">
        <v>0.59637141195756316</v>
      </c>
      <c r="H65" s="2" t="s">
        <v>1</v>
      </c>
      <c r="I65" s="4">
        <v>131</v>
      </c>
    </row>
    <row r="66" spans="1:9" x14ac:dyDescent="0.2">
      <c r="A66" s="7">
        <v>2299.2041718109899</v>
      </c>
      <c r="B66" s="10">
        <f t="shared" ref="B66:B97" si="2">A66/1000</f>
        <v>2.2992041718109899</v>
      </c>
      <c r="C66" s="10">
        <v>6.1828991696401096E-2</v>
      </c>
      <c r="D66" s="10">
        <v>0.26036039652880699</v>
      </c>
      <c r="E66" s="10">
        <v>-0.78434109482761205</v>
      </c>
      <c r="F66" s="10">
        <v>0.312876269913136</v>
      </c>
      <c r="G66" s="10">
        <v>0.58982332971387075</v>
      </c>
      <c r="H66" s="2" t="s">
        <v>1</v>
      </c>
      <c r="I66" s="4">
        <v>35</v>
      </c>
    </row>
    <row r="67" spans="1:9" x14ac:dyDescent="0.2">
      <c r="A67" s="7">
        <v>2561.5732666767999</v>
      </c>
      <c r="B67" s="10">
        <f t="shared" si="2"/>
        <v>2.5615732666767999</v>
      </c>
      <c r="C67" s="10">
        <v>5.3234254365441498E-2</v>
      </c>
      <c r="D67" s="10">
        <v>0.28675763774403495</v>
      </c>
      <c r="E67" s="10">
        <v>-0.13074354054054599</v>
      </c>
      <c r="F67" s="10">
        <v>0.25065519158946897</v>
      </c>
      <c r="G67" s="10">
        <v>0.55931031196532877</v>
      </c>
      <c r="H67" s="2" t="s">
        <v>1</v>
      </c>
      <c r="I67" s="4">
        <v>97</v>
      </c>
    </row>
    <row r="68" spans="1:9" x14ac:dyDescent="0.2">
      <c r="A68" s="7">
        <v>2575.6824658023402</v>
      </c>
      <c r="B68" s="10">
        <f t="shared" si="2"/>
        <v>2.5756824658023403</v>
      </c>
      <c r="C68" s="10">
        <v>5.93430600733112E-2</v>
      </c>
      <c r="D68" s="10">
        <v>0.28947313307287798</v>
      </c>
      <c r="E68" s="10">
        <v>0.28702518433632002</v>
      </c>
      <c r="F68" s="10">
        <v>0.249532889863185</v>
      </c>
      <c r="G68" s="10">
        <v>0.55880825255491029</v>
      </c>
      <c r="H68" s="2" t="s">
        <v>1</v>
      </c>
      <c r="I68" s="4">
        <v>98</v>
      </c>
    </row>
    <row r="69" spans="1:9" x14ac:dyDescent="0.2">
      <c r="A69" s="7">
        <v>2674.51253894107</v>
      </c>
      <c r="B69" s="10">
        <f t="shared" si="2"/>
        <v>2.67451253894107</v>
      </c>
      <c r="C69" s="10">
        <v>6.1828991696401096E-2</v>
      </c>
      <c r="D69" s="10">
        <v>0.30062324227797999</v>
      </c>
      <c r="E69" s="10">
        <v>-0.28691535797409401</v>
      </c>
      <c r="F69" s="10">
        <v>0.27672502427319201</v>
      </c>
      <c r="G69" s="10">
        <v>0.5714689309656289</v>
      </c>
      <c r="H69" s="2" t="s">
        <v>1</v>
      </c>
      <c r="I69" s="4">
        <v>48</v>
      </c>
    </row>
    <row r="70" spans="1:9" x14ac:dyDescent="0.2">
      <c r="A70" s="7">
        <v>2684.4022310854102</v>
      </c>
      <c r="B70" s="10">
        <f t="shared" si="2"/>
        <v>2.6844022310854103</v>
      </c>
      <c r="C70" s="10">
        <v>6.1828991696401096E-2</v>
      </c>
      <c r="D70" s="10">
        <v>0.30168793447384601</v>
      </c>
      <c r="E70" s="10">
        <v>0.62521022065764598</v>
      </c>
      <c r="F70" s="10">
        <v>0.29819361990816301</v>
      </c>
      <c r="G70" s="10">
        <v>0.58216787523353952</v>
      </c>
      <c r="H70" s="2" t="s">
        <v>1</v>
      </c>
      <c r="I70" s="4">
        <v>80</v>
      </c>
    </row>
    <row r="71" spans="1:9" x14ac:dyDescent="0.2">
      <c r="A71" s="7">
        <v>2690</v>
      </c>
      <c r="B71" s="10">
        <f t="shared" si="2"/>
        <v>2.69</v>
      </c>
      <c r="C71" s="10">
        <v>9.0909090909090912E-2</v>
      </c>
      <c r="D71" s="10">
        <v>0.309550113567928</v>
      </c>
      <c r="E71" s="10">
        <v>-0.31</v>
      </c>
      <c r="F71" s="10">
        <v>0.31347545517991898</v>
      </c>
      <c r="G71" s="10">
        <v>0.59014139068553506</v>
      </c>
      <c r="H71" s="2" t="s">
        <v>1</v>
      </c>
      <c r="I71" s="4">
        <v>140</v>
      </c>
    </row>
    <row r="72" spans="1:9" x14ac:dyDescent="0.2">
      <c r="A72" s="7">
        <v>2848.48362058776</v>
      </c>
      <c r="B72" s="10">
        <f t="shared" si="2"/>
        <v>2.8484836205877602</v>
      </c>
      <c r="C72" s="10">
        <v>5.3234254365441498E-2</v>
      </c>
      <c r="D72" s="10">
        <v>0.31782318822358002</v>
      </c>
      <c r="E72" s="10">
        <v>0.494749904639047</v>
      </c>
      <c r="F72" s="10">
        <v>0.26820769724346899</v>
      </c>
      <c r="G72" s="10">
        <v>0.56739348679786972</v>
      </c>
      <c r="H72" s="2" t="s">
        <v>1</v>
      </c>
      <c r="I72" s="4">
        <v>81</v>
      </c>
    </row>
    <row r="73" spans="1:9" x14ac:dyDescent="0.2">
      <c r="A73" s="7">
        <v>2867.6741631518998</v>
      </c>
      <c r="B73" s="10">
        <f t="shared" si="2"/>
        <v>2.8676741631519</v>
      </c>
      <c r="C73" s="10">
        <v>5.93430600733112E-2</v>
      </c>
      <c r="D73" s="10">
        <v>0.32097759355066102</v>
      </c>
      <c r="E73" s="10">
        <v>0.22905546102980301</v>
      </c>
      <c r="F73" s="10">
        <v>0.24712341255907599</v>
      </c>
      <c r="G73" s="10">
        <v>0.55773647992115716</v>
      </c>
      <c r="H73" s="2" t="s">
        <v>1</v>
      </c>
      <c r="I73" s="4">
        <v>49</v>
      </c>
    </row>
    <row r="74" spans="1:9" x14ac:dyDescent="0.2">
      <c r="A74" s="7">
        <v>2890.9967877511699</v>
      </c>
      <c r="B74" s="10">
        <f t="shared" si="2"/>
        <v>2.89099678775117</v>
      </c>
      <c r="C74" s="10">
        <v>5.93430600733112E-2</v>
      </c>
      <c r="D74" s="10">
        <v>0.32349920269298099</v>
      </c>
      <c r="E74" s="10">
        <v>1.03445620633891</v>
      </c>
      <c r="F74" s="10">
        <v>0.319022429586171</v>
      </c>
      <c r="G74" s="10">
        <v>0.59310649176944896</v>
      </c>
      <c r="H74" s="2" t="s">
        <v>1</v>
      </c>
      <c r="I74" s="4">
        <v>83</v>
      </c>
    </row>
    <row r="75" spans="1:9" x14ac:dyDescent="0.2">
      <c r="A75" s="7">
        <v>2895.4580083444498</v>
      </c>
      <c r="B75" s="10">
        <f t="shared" si="2"/>
        <v>2.8954580083444497</v>
      </c>
      <c r="C75" s="10">
        <v>5.93430600733112E-2</v>
      </c>
      <c r="D75" s="10">
        <v>0.32398162204622799</v>
      </c>
      <c r="E75" s="10">
        <v>1.3759576675031999</v>
      </c>
      <c r="F75" s="10">
        <v>0.367017308823677</v>
      </c>
      <c r="G75" s="10">
        <v>0.62024326274146202</v>
      </c>
      <c r="H75" s="2" t="s">
        <v>1</v>
      </c>
      <c r="I75" s="4">
        <v>84</v>
      </c>
    </row>
    <row r="76" spans="1:9" x14ac:dyDescent="0.2">
      <c r="A76" s="7">
        <v>3064.9777778322</v>
      </c>
      <c r="B76" s="10">
        <f t="shared" si="2"/>
        <v>3.0649777778321998</v>
      </c>
      <c r="C76" s="10">
        <v>6.1828991696401096E-2</v>
      </c>
      <c r="D76" s="10">
        <v>0.342770037248469</v>
      </c>
      <c r="E76" s="10">
        <v>0.22896230872415699</v>
      </c>
      <c r="F76" s="10">
        <v>0.27455577157654898</v>
      </c>
      <c r="G76" s="10">
        <v>0.57042166132256422</v>
      </c>
      <c r="H76" s="2" t="s">
        <v>1</v>
      </c>
      <c r="I76" s="4">
        <v>82</v>
      </c>
    </row>
  </sheetData>
  <sortState xmlns:xlrd2="http://schemas.microsoft.com/office/spreadsheetml/2017/richdata2" ref="A2:I125">
    <sortCondition ref="B1:B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Bartlein</dc:creator>
  <cp:lastModifiedBy>Patrick Bartlein</cp:lastModifiedBy>
  <dcterms:created xsi:type="dcterms:W3CDTF">2026-03-28T22:51:18Z</dcterms:created>
  <dcterms:modified xsi:type="dcterms:W3CDTF">2026-03-30T23:40:39Z</dcterms:modified>
</cp:coreProperties>
</file>