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tlein/Dropbox/WorkCurrent/globalT/MOTs/Shackleton/"/>
    </mc:Choice>
  </mc:AlternateContent>
  <xr:revisionPtr revIDLastSave="0" documentId="13_ncr:1_{82F0EEF8-7932-944D-902A-B9FBF75367DE}" xr6:coauthVersionLast="47" xr6:coauthVersionMax="47" xr10:uidLastSave="{00000000-0000-0000-0000-000000000000}"/>
  <bookViews>
    <workbookView xWindow="13600" yWindow="8260" windowWidth="26040" windowHeight="14680" xr2:uid="{CFF983A1-E343-5942-912D-75EE9E7A8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27" i="1"/>
  <c r="B60" i="1"/>
  <c r="B34" i="1"/>
  <c r="B31" i="1"/>
  <c r="B30" i="1"/>
  <c r="B44" i="1"/>
  <c r="B55" i="1"/>
  <c r="B67" i="1"/>
  <c r="B57" i="1"/>
  <c r="B66" i="1"/>
  <c r="B54" i="1"/>
  <c r="B53" i="1"/>
  <c r="B37" i="1"/>
  <c r="B62" i="1"/>
  <c r="B51" i="1"/>
  <c r="B38" i="1"/>
  <c r="B40" i="1"/>
  <c r="B43" i="1"/>
  <c r="B48" i="1"/>
  <c r="B36" i="1"/>
  <c r="B33" i="1"/>
  <c r="B21" i="1"/>
  <c r="B35" i="1"/>
  <c r="B24" i="1"/>
  <c r="B41" i="1"/>
  <c r="B68" i="1"/>
  <c r="B78" i="1"/>
  <c r="B59" i="1"/>
  <c r="B61" i="1"/>
  <c r="B52" i="1"/>
  <c r="B114" i="1"/>
  <c r="B71" i="1"/>
  <c r="B82" i="1"/>
  <c r="B76" i="1"/>
  <c r="B89" i="1"/>
  <c r="B95" i="1"/>
  <c r="B96" i="1"/>
  <c r="B83" i="1"/>
  <c r="B47" i="1"/>
  <c r="B25" i="1"/>
  <c r="B29" i="1"/>
  <c r="B56" i="1"/>
  <c r="B32" i="1"/>
  <c r="B117" i="1"/>
  <c r="B121" i="1"/>
  <c r="B109" i="1"/>
  <c r="B106" i="1"/>
  <c r="B110" i="1"/>
  <c r="B77" i="1"/>
  <c r="B73" i="1"/>
  <c r="B79" i="1"/>
  <c r="B26" i="1"/>
  <c r="B45" i="1"/>
  <c r="B107" i="1"/>
  <c r="B90" i="1"/>
  <c r="B100" i="1"/>
  <c r="B111" i="1"/>
  <c r="B65" i="1"/>
  <c r="B63" i="1"/>
  <c r="B70" i="1"/>
  <c r="B80" i="1"/>
  <c r="B84" i="1"/>
  <c r="B93" i="1"/>
  <c r="B102" i="1"/>
  <c r="B104" i="1"/>
  <c r="B101" i="1"/>
  <c r="B88" i="1"/>
  <c r="B91" i="1"/>
  <c r="B97" i="1"/>
  <c r="B98" i="1"/>
  <c r="B99" i="1"/>
  <c r="B86" i="1"/>
  <c r="B112" i="1"/>
  <c r="B118" i="1"/>
  <c r="B120" i="1"/>
  <c r="B124" i="1"/>
  <c r="B122" i="1"/>
  <c r="B123" i="1"/>
  <c r="B19" i="1"/>
  <c r="B74" i="1"/>
  <c r="B42" i="1"/>
  <c r="B64" i="1"/>
  <c r="B58" i="1"/>
  <c r="B75" i="1"/>
  <c r="B81" i="1"/>
  <c r="B72" i="1"/>
  <c r="B115" i="1"/>
  <c r="B116" i="1"/>
  <c r="B8" i="1"/>
  <c r="B12" i="1"/>
  <c r="B10" i="1"/>
  <c r="B6" i="1"/>
  <c r="B2" i="1"/>
  <c r="B11" i="1"/>
  <c r="B13" i="1"/>
  <c r="B14" i="1"/>
  <c r="B9" i="1"/>
  <c r="B4" i="1"/>
  <c r="B7" i="1"/>
  <c r="B3" i="1"/>
  <c r="B5" i="1"/>
  <c r="B15" i="1"/>
  <c r="B28" i="1"/>
  <c r="B22" i="1"/>
  <c r="B23" i="1"/>
  <c r="B50" i="1"/>
  <c r="B39" i="1"/>
  <c r="B85" i="1"/>
  <c r="B16" i="1"/>
  <c r="B20" i="1"/>
  <c r="B103" i="1"/>
  <c r="B113" i="1"/>
  <c r="B69" i="1"/>
  <c r="B49" i="1"/>
  <c r="B92" i="1"/>
  <c r="B87" i="1"/>
  <c r="B46" i="1"/>
  <c r="B105" i="1"/>
  <c r="B94" i="1"/>
  <c r="B108" i="1"/>
  <c r="B119" i="1"/>
  <c r="B17" i="1"/>
</calcChain>
</file>

<file path=xl/sharedStrings.xml><?xml version="1.0" encoding="utf-8"?>
<sst xmlns="http://schemas.openxmlformats.org/spreadsheetml/2006/main" count="132" uniqueCount="11">
  <si>
    <t>Snapshot</t>
  </si>
  <si>
    <t>'short'</t>
  </si>
  <si>
    <t>'long'</t>
  </si>
  <si>
    <t>seqnum</t>
  </si>
  <si>
    <t>Age_ka</t>
  </si>
  <si>
    <t>AgeMa</t>
  </si>
  <si>
    <t>Relative_err</t>
  </si>
  <si>
    <t>Absolute_err</t>
  </si>
  <si>
    <t>MOT_anomaly</t>
  </si>
  <si>
    <t>MOT_err</t>
  </si>
  <si>
    <t>MOT_abs_err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</si>
</sst>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 applyFont="1" applyAlignment="1">
      <alignment horizontal="left"/>
    </xf>
    <xf numFmtId="1" fontId="2" fillId="0" borderId="0" xfId="0" applyNumberFormat="1" applyFont="1"/>
    <xf numFmtId="1" fontId="0" fillId="0" borderId="0" xfId="0" applyNumberForma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/>
    <xf numFmtId="164" fontId="0" fillId="0" borderId="0" xfId="0" applyNumberFormat="1"/>
    <xf numFmtId="165" fontId="1" fillId="0" borderId="0" xfId="0" applyNumberFormat="1" applyFont="1" applyAlignment="1">
      <alignment horizontal="left"/>
    </xf>
    <xf numFmtId="165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4B04-A2D0-3843-AB11-204B61FC4C3E}">
  <dimension ref="A1:I124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0.83203125" style="8"/>
    <col min="2" max="7" width="10.83203125" style="11"/>
    <col min="9" max="9" width="10.83203125" style="5"/>
  </cols>
  <sheetData>
    <row r="1" spans="1:9" x14ac:dyDescent="0.2">
      <c r="A1" s="6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1" t="s">
        <v>0</v>
      </c>
      <c r="I1" s="3" t="s">
        <v>3</v>
      </c>
    </row>
    <row r="2" spans="1:9" x14ac:dyDescent="0.2">
      <c r="A2" s="7">
        <v>-86.744419564863193</v>
      </c>
      <c r="B2" s="10">
        <f>A2/1000</f>
        <v>-8.6744419564863187E-2</v>
      </c>
      <c r="C2" s="10">
        <v>62.387518254981501</v>
      </c>
      <c r="D2" s="10">
        <v>63.112994108629998</v>
      </c>
      <c r="E2" s="10">
        <v>-0.78028938275653803</v>
      </c>
      <c r="F2" s="10">
        <v>0.46979648978065602</v>
      </c>
      <c r="G2" s="10">
        <v>0.68608216841004255</v>
      </c>
      <c r="H2" s="2" t="s">
        <v>1</v>
      </c>
      <c r="I2" s="4">
        <v>112</v>
      </c>
    </row>
    <row r="3" spans="1:9" x14ac:dyDescent="0.2">
      <c r="A3" s="7">
        <v>54.144172592388301</v>
      </c>
      <c r="B3" s="10">
        <f>A3/1000</f>
        <v>5.4144172592388302E-2</v>
      </c>
      <c r="C3" s="10">
        <v>62.387518254981501</v>
      </c>
      <c r="D3" s="10">
        <v>62.671163147549699</v>
      </c>
      <c r="E3" s="10">
        <v>-2.67668883857419</v>
      </c>
      <c r="F3" s="10">
        <v>0.69493971430508295</v>
      </c>
      <c r="G3" s="10">
        <v>0.85611985522964618</v>
      </c>
      <c r="H3" s="2" t="s">
        <v>1</v>
      </c>
      <c r="I3" s="4">
        <v>119</v>
      </c>
    </row>
    <row r="4" spans="1:9" x14ac:dyDescent="0.2">
      <c r="A4" s="7">
        <v>63.3489559790738</v>
      </c>
      <c r="B4" s="10">
        <f>A4/1000</f>
        <v>6.3348955979073807E-2</v>
      </c>
      <c r="C4" s="10">
        <v>62.387518254981501</v>
      </c>
      <c r="D4" s="10">
        <v>62.775479494159796</v>
      </c>
      <c r="E4" s="10">
        <v>-2.4069876478157699</v>
      </c>
      <c r="F4" s="10">
        <v>0.65429218430761604</v>
      </c>
      <c r="G4" s="10">
        <v>0.82346722001912831</v>
      </c>
      <c r="H4" s="2" t="s">
        <v>1</v>
      </c>
      <c r="I4" s="4">
        <v>117</v>
      </c>
    </row>
    <row r="5" spans="1:9" x14ac:dyDescent="0.2">
      <c r="A5" s="7">
        <v>83.403338728626395</v>
      </c>
      <c r="B5" s="10">
        <f>A5/1000</f>
        <v>8.3403338728626389E-2</v>
      </c>
      <c r="C5" s="10">
        <v>62.387518254981501</v>
      </c>
      <c r="D5" s="10">
        <v>63.058476421808201</v>
      </c>
      <c r="E5" s="10">
        <v>-2.4530808898523002</v>
      </c>
      <c r="F5" s="10">
        <v>0.66110431481186505</v>
      </c>
      <c r="G5" s="10">
        <v>0.82889017068780924</v>
      </c>
      <c r="H5" s="2" t="s">
        <v>1</v>
      </c>
      <c r="I5" s="4">
        <v>120</v>
      </c>
    </row>
    <row r="6" spans="1:9" x14ac:dyDescent="0.2">
      <c r="A6" s="7">
        <v>83.749605753780401</v>
      </c>
      <c r="B6" s="10">
        <f>A6/1000</f>
        <v>8.3749605753780404E-2</v>
      </c>
      <c r="C6" s="10">
        <v>62.387518254981501</v>
      </c>
      <c r="D6" s="10">
        <v>63.064029297445103</v>
      </c>
      <c r="E6" s="10">
        <v>-0.34047881800347601</v>
      </c>
      <c r="F6" s="10">
        <v>0.44832099437443801</v>
      </c>
      <c r="G6" s="10">
        <v>0.67155916641565161</v>
      </c>
      <c r="H6" s="2" t="s">
        <v>1</v>
      </c>
      <c r="I6" s="4">
        <v>111</v>
      </c>
    </row>
    <row r="7" spans="1:9" x14ac:dyDescent="0.2">
      <c r="A7" s="7">
        <v>85.7043471225508</v>
      </c>
      <c r="B7" s="10">
        <f>A7/1000</f>
        <v>8.5704347122550803E-2</v>
      </c>
      <c r="C7" s="10">
        <v>61.828991696401097</v>
      </c>
      <c r="D7" s="10">
        <v>62.543597266975603</v>
      </c>
      <c r="E7" s="10">
        <v>-2.1425239463952499</v>
      </c>
      <c r="F7" s="10">
        <v>0.56293584589047496</v>
      </c>
      <c r="G7" s="10">
        <v>0.75292547213414462</v>
      </c>
      <c r="H7" s="2" t="s">
        <v>1</v>
      </c>
      <c r="I7" s="4">
        <v>118</v>
      </c>
    </row>
    <row r="8" spans="1:9" x14ac:dyDescent="0.2">
      <c r="A8" s="7">
        <v>107.040946013447</v>
      </c>
      <c r="B8" s="10">
        <f>A8/1000</f>
        <v>0.10704094601344699</v>
      </c>
      <c r="C8" s="10">
        <v>62.387518254981501</v>
      </c>
      <c r="D8" s="10">
        <v>63.488907534383102</v>
      </c>
      <c r="E8" s="10">
        <v>0.23296761521352</v>
      </c>
      <c r="F8" s="10">
        <v>0.44556215881294697</v>
      </c>
      <c r="G8" s="10">
        <v>0.66972056662913804</v>
      </c>
      <c r="H8" s="2" t="s">
        <v>1</v>
      </c>
      <c r="I8" s="4">
        <v>108</v>
      </c>
    </row>
    <row r="9" spans="1:9" x14ac:dyDescent="0.2">
      <c r="A9" s="7">
        <v>124.655893565385</v>
      </c>
      <c r="B9" s="10">
        <f>A9/1000</f>
        <v>0.12465589356538501</v>
      </c>
      <c r="C9" s="10">
        <v>61.828991696401097</v>
      </c>
      <c r="D9" s="10">
        <v>63.331249987511796</v>
      </c>
      <c r="E9" s="10">
        <v>-2.6150226607848399</v>
      </c>
      <c r="F9" s="10">
        <v>0.63781984353739796</v>
      </c>
      <c r="G9" s="10">
        <v>0.81044071517296734</v>
      </c>
      <c r="H9" s="2" t="s">
        <v>1</v>
      </c>
      <c r="I9" s="4">
        <v>116</v>
      </c>
    </row>
    <row r="10" spans="1:9" x14ac:dyDescent="0.2">
      <c r="A10" s="7">
        <v>133.87776152488499</v>
      </c>
      <c r="B10" s="10">
        <f>A10/1000</f>
        <v>0.13387776152488498</v>
      </c>
      <c r="C10" s="10">
        <v>62.387518254981501</v>
      </c>
      <c r="D10" s="10">
        <v>64.102057844422703</v>
      </c>
      <c r="E10" s="10">
        <v>-0.438123985242234</v>
      </c>
      <c r="F10" s="10">
        <v>0.45169988491730301</v>
      </c>
      <c r="G10" s="10">
        <v>0.67381955005350269</v>
      </c>
      <c r="H10" s="2" t="s">
        <v>1</v>
      </c>
      <c r="I10" s="4">
        <v>110</v>
      </c>
    </row>
    <row r="11" spans="1:9" x14ac:dyDescent="0.2">
      <c r="A11" s="7">
        <v>144.68214118434901</v>
      </c>
      <c r="B11" s="10">
        <f>A11/1000</f>
        <v>0.14468214118434899</v>
      </c>
      <c r="C11" s="10">
        <v>62.387518254981501</v>
      </c>
      <c r="D11" s="10">
        <v>64.385485864018094</v>
      </c>
      <c r="E11" s="10">
        <v>-0.93448693311604103</v>
      </c>
      <c r="F11" s="10">
        <v>0.48092131799610199</v>
      </c>
      <c r="G11" s="10">
        <v>0.69374729844743022</v>
      </c>
      <c r="H11" s="2" t="s">
        <v>1</v>
      </c>
      <c r="I11" s="4">
        <v>113</v>
      </c>
    </row>
    <row r="12" spans="1:9" x14ac:dyDescent="0.2">
      <c r="A12" s="7">
        <v>161.33984877727201</v>
      </c>
      <c r="B12" s="10">
        <f>A12/1000</f>
        <v>0.161339848777272</v>
      </c>
      <c r="C12" s="10">
        <v>61.828991696401097</v>
      </c>
      <c r="D12" s="10">
        <v>64.325685620253296</v>
      </c>
      <c r="E12" s="10">
        <v>-0.18825027128621699</v>
      </c>
      <c r="F12" s="10">
        <v>0.36701217791636798</v>
      </c>
      <c r="G12" s="10">
        <v>0.62024022663716016</v>
      </c>
      <c r="H12" s="2" t="s">
        <v>1</v>
      </c>
      <c r="I12" s="4">
        <v>109</v>
      </c>
    </row>
    <row r="13" spans="1:9" x14ac:dyDescent="0.2">
      <c r="A13" s="7">
        <v>163.314308919794</v>
      </c>
      <c r="B13" s="10">
        <f>A13/1000</f>
        <v>0.16331430891979401</v>
      </c>
      <c r="C13" s="10">
        <v>62.387518254981501</v>
      </c>
      <c r="D13" s="10">
        <v>64.922479560941397</v>
      </c>
      <c r="E13" s="10">
        <v>-2.09581841084416</v>
      </c>
      <c r="F13" s="10">
        <v>0.60996137043738896</v>
      </c>
      <c r="G13" s="10">
        <v>0.78870328604986661</v>
      </c>
      <c r="H13" s="2" t="s">
        <v>1</v>
      </c>
      <c r="I13" s="4">
        <v>114</v>
      </c>
    </row>
    <row r="14" spans="1:9" x14ac:dyDescent="0.2">
      <c r="A14" s="7">
        <v>216.77872200508199</v>
      </c>
      <c r="B14" s="10">
        <f>A14/1000</f>
        <v>0.216778722005082</v>
      </c>
      <c r="C14" s="10">
        <v>62.387518254981501</v>
      </c>
      <c r="D14" s="10">
        <v>66.789354744726694</v>
      </c>
      <c r="E14" s="10">
        <v>-2.1441245121321999</v>
      </c>
      <c r="F14" s="10">
        <v>0.61664047703468905</v>
      </c>
      <c r="G14" s="10">
        <v>0.7938800148117906</v>
      </c>
      <c r="H14" s="2" t="s">
        <v>1</v>
      </c>
      <c r="I14" s="4">
        <v>115</v>
      </c>
    </row>
    <row r="15" spans="1:9" x14ac:dyDescent="0.2">
      <c r="A15" s="7">
        <v>350</v>
      </c>
      <c r="B15" s="10">
        <f>A15/1000</f>
        <v>0.35</v>
      </c>
      <c r="C15" s="10">
        <v>90.909090909090907</v>
      </c>
      <c r="D15" s="10">
        <v>98.725441553417994</v>
      </c>
      <c r="E15" s="10">
        <v>-0.26</v>
      </c>
      <c r="F15" s="10">
        <v>0.39638787948202697</v>
      </c>
      <c r="G15" s="10">
        <v>0.63806218427380412</v>
      </c>
      <c r="H15" s="2" t="s">
        <v>1</v>
      </c>
      <c r="I15" s="4">
        <v>121</v>
      </c>
    </row>
    <row r="16" spans="1:9" x14ac:dyDescent="0.2">
      <c r="A16" s="7">
        <v>430</v>
      </c>
      <c r="B16" s="10">
        <f>A16/1000</f>
        <v>0.43</v>
      </c>
      <c r="C16" s="10">
        <v>90.909090909090907</v>
      </c>
      <c r="D16" s="10">
        <v>102.478060139316</v>
      </c>
      <c r="E16" s="10">
        <v>-1.99</v>
      </c>
      <c r="F16" s="10">
        <v>0.55930613352640601</v>
      </c>
      <c r="G16" s="10">
        <v>0.75021553636288951</v>
      </c>
      <c r="H16" s="2" t="s">
        <v>2</v>
      </c>
      <c r="I16" s="4">
        <v>128</v>
      </c>
    </row>
    <row r="17" spans="1:9" x14ac:dyDescent="0.2">
      <c r="A17" s="7">
        <v>435.12656691584698</v>
      </c>
      <c r="B17" s="10">
        <f>A17/1000</f>
        <v>0.435126566915847</v>
      </c>
      <c r="C17" s="10">
        <v>53.234254365441501</v>
      </c>
      <c r="D17" s="10">
        <v>71.587994116330506</v>
      </c>
      <c r="E17" s="10">
        <v>-0.30593244362331401</v>
      </c>
      <c r="F17" s="10">
        <v>0.35480212307352899</v>
      </c>
      <c r="G17" s="10">
        <v>0.6130942395239769</v>
      </c>
      <c r="H17" s="2" t="s">
        <v>1</v>
      </c>
      <c r="I17" s="4">
        <v>1</v>
      </c>
    </row>
    <row r="18" spans="1:9" x14ac:dyDescent="0.2">
      <c r="A18" s="7">
        <v>456.03451611272101</v>
      </c>
      <c r="B18" s="10">
        <f>A18/1000</f>
        <v>0.456034516112721</v>
      </c>
      <c r="C18" s="10">
        <v>59.3430600733112</v>
      </c>
      <c r="D18" s="10">
        <v>77.704602730386597</v>
      </c>
      <c r="E18" s="10">
        <v>-1.1732253087601801</v>
      </c>
      <c r="F18" s="10">
        <v>0.41716437991558802</v>
      </c>
      <c r="G18" s="10">
        <v>0.65117288017112407</v>
      </c>
      <c r="H18" s="2" t="s">
        <v>1</v>
      </c>
      <c r="I18" s="4">
        <v>2</v>
      </c>
    </row>
    <row r="19" spans="1:9" x14ac:dyDescent="0.2">
      <c r="A19" s="7">
        <v>499.48469848565799</v>
      </c>
      <c r="B19" s="10">
        <f>A19/1000</f>
        <v>0.49948469848565796</v>
      </c>
      <c r="C19" s="10">
        <v>104.01779919557001</v>
      </c>
      <c r="D19" s="10">
        <v>117.63702909436201</v>
      </c>
      <c r="E19" s="10">
        <v>-0.87018046130416005</v>
      </c>
      <c r="F19" s="10">
        <v>0.43103921716037502</v>
      </c>
      <c r="G19" s="10">
        <v>0.6601475643598399</v>
      </c>
      <c r="H19" s="2" t="s">
        <v>2</v>
      </c>
      <c r="I19" s="4">
        <v>89</v>
      </c>
    </row>
    <row r="20" spans="1:9" x14ac:dyDescent="0.2">
      <c r="A20" s="7">
        <v>500</v>
      </c>
      <c r="B20" s="10">
        <f>A20/1000</f>
        <v>0.5</v>
      </c>
      <c r="C20" s="10">
        <v>90.909090909090907</v>
      </c>
      <c r="D20" s="10">
        <v>106.251883794676</v>
      </c>
      <c r="E20" s="10">
        <v>-2.09</v>
      </c>
      <c r="F20" s="10">
        <v>0.57371016288737398</v>
      </c>
      <c r="G20" s="10">
        <v>0.76101468514100112</v>
      </c>
      <c r="H20" s="2" t="s">
        <v>2</v>
      </c>
      <c r="I20" s="4">
        <v>129</v>
      </c>
    </row>
    <row r="21" spans="1:9" x14ac:dyDescent="0.2">
      <c r="A21" s="7">
        <v>525.43043779184802</v>
      </c>
      <c r="B21" s="10">
        <f>A21/1000</f>
        <v>0.52543043779184806</v>
      </c>
      <c r="C21" s="10">
        <v>61.828991696401097</v>
      </c>
      <c r="D21" s="10">
        <v>84.636621318357498</v>
      </c>
      <c r="E21" s="10">
        <v>-1.01219344898751</v>
      </c>
      <c r="F21" s="10">
        <v>0.41744680533005801</v>
      </c>
      <c r="G21" s="10">
        <v>0.65135384798147267</v>
      </c>
      <c r="H21" s="2" t="s">
        <v>1</v>
      </c>
      <c r="I21" s="4">
        <v>25</v>
      </c>
    </row>
    <row r="22" spans="1:9" x14ac:dyDescent="0.2">
      <c r="A22" s="7">
        <v>530</v>
      </c>
      <c r="B22" s="10">
        <f>A22/1000</f>
        <v>0.53</v>
      </c>
      <c r="C22" s="10">
        <v>90.909090909090907</v>
      </c>
      <c r="D22" s="10">
        <v>107.997003708054</v>
      </c>
      <c r="E22" s="10">
        <v>-0.32</v>
      </c>
      <c r="F22" s="10">
        <v>0.39813986361611398</v>
      </c>
      <c r="G22" s="10">
        <v>0.6391520562434716</v>
      </c>
      <c r="H22" s="2" t="s">
        <v>1</v>
      </c>
      <c r="I22" s="4">
        <v>123</v>
      </c>
    </row>
    <row r="23" spans="1:9" x14ac:dyDescent="0.2">
      <c r="A23" s="7">
        <v>530</v>
      </c>
      <c r="B23" s="10">
        <f>A23/1000</f>
        <v>0.53</v>
      </c>
      <c r="C23" s="10">
        <v>90.909090909090907</v>
      </c>
      <c r="D23" s="10">
        <v>107.997003708054</v>
      </c>
      <c r="E23" s="10">
        <v>-0.19</v>
      </c>
      <c r="F23" s="10">
        <v>0.39479532798686701</v>
      </c>
      <c r="G23" s="10">
        <v>0.63707405456528987</v>
      </c>
      <c r="H23" s="2" t="s">
        <v>1</v>
      </c>
      <c r="I23" s="4">
        <v>124</v>
      </c>
    </row>
    <row r="24" spans="1:9" x14ac:dyDescent="0.2">
      <c r="A24" s="7">
        <v>544.57443427082296</v>
      </c>
      <c r="B24" s="10">
        <f>A24/1000</f>
        <v>0.54457443427082297</v>
      </c>
      <c r="C24" s="10">
        <v>61.828991696401097</v>
      </c>
      <c r="D24" s="10">
        <v>86.088420354751605</v>
      </c>
      <c r="E24" s="10">
        <v>-1.85836926835126</v>
      </c>
      <c r="F24" s="10">
        <v>0.52098163658178798</v>
      </c>
      <c r="G24" s="10">
        <v>0.72209546851883655</v>
      </c>
      <c r="H24" s="2" t="s">
        <v>1</v>
      </c>
      <c r="I24" s="4">
        <v>28</v>
      </c>
    </row>
    <row r="25" spans="1:9" x14ac:dyDescent="0.2">
      <c r="A25" s="7">
        <v>551.80002248780102</v>
      </c>
      <c r="B25" s="10">
        <f>A25/1000</f>
        <v>0.55180002248780102</v>
      </c>
      <c r="C25" s="10">
        <v>61.828991696401097</v>
      </c>
      <c r="D25" s="10">
        <v>86.643359344417405</v>
      </c>
      <c r="E25" s="10">
        <v>-1.89227346629894</v>
      </c>
      <c r="F25" s="10">
        <v>0.52584062890167005</v>
      </c>
      <c r="G25" s="10">
        <v>0.72560896287442855</v>
      </c>
      <c r="H25" s="2" t="s">
        <v>2</v>
      </c>
      <c r="I25" s="4">
        <v>44</v>
      </c>
    </row>
    <row r="26" spans="1:9" x14ac:dyDescent="0.2">
      <c r="A26" s="7">
        <v>558.216072768093</v>
      </c>
      <c r="B26" s="10">
        <f>A26/1000</f>
        <v>0.55821607276809304</v>
      </c>
      <c r="C26" s="10">
        <v>61.828991696401097</v>
      </c>
      <c r="D26" s="10">
        <v>87.139238804013502</v>
      </c>
      <c r="E26" s="10">
        <v>-2.0358835430957001</v>
      </c>
      <c r="F26" s="10">
        <v>0.54687593126344303</v>
      </c>
      <c r="G26" s="10">
        <v>0.74099479363573006</v>
      </c>
      <c r="H26" s="2" t="s">
        <v>2</v>
      </c>
      <c r="I26" s="4">
        <v>56</v>
      </c>
    </row>
    <row r="27" spans="1:9" x14ac:dyDescent="0.2">
      <c r="A27" s="7">
        <v>558.46275426150703</v>
      </c>
      <c r="B27" s="10">
        <f>A27/1000</f>
        <v>0.55846275426150704</v>
      </c>
      <c r="C27" s="10">
        <v>59.3430600733112</v>
      </c>
      <c r="D27" s="10">
        <v>85.412848087524495</v>
      </c>
      <c r="E27" s="10">
        <v>-2.14699463640489</v>
      </c>
      <c r="F27" s="10">
        <v>0.55077332326084405</v>
      </c>
      <c r="G27" s="10">
        <v>0.74387583212240083</v>
      </c>
      <c r="H27" s="2" t="s">
        <v>1</v>
      </c>
      <c r="I27" s="4">
        <v>3</v>
      </c>
    </row>
    <row r="28" spans="1:9" x14ac:dyDescent="0.2">
      <c r="A28" s="7">
        <v>570</v>
      </c>
      <c r="B28" s="10">
        <f>A28/1000</f>
        <v>0.56999999999999995</v>
      </c>
      <c r="C28" s="10">
        <v>90.909090909090907</v>
      </c>
      <c r="D28" s="10">
        <v>110.434382372146</v>
      </c>
      <c r="E28" s="10">
        <v>-2.76</v>
      </c>
      <c r="F28" s="10">
        <v>0.67758641589118196</v>
      </c>
      <c r="G28" s="10">
        <v>0.84209462116810707</v>
      </c>
      <c r="H28" s="2" t="s">
        <v>1</v>
      </c>
      <c r="I28" s="4">
        <v>122</v>
      </c>
    </row>
    <row r="29" spans="1:9" x14ac:dyDescent="0.2">
      <c r="A29" s="7">
        <v>578.96466442265296</v>
      </c>
      <c r="B29" s="10">
        <f>A29/1000</f>
        <v>0.57896466442265293</v>
      </c>
      <c r="C29" s="10">
        <v>61.828991696401097</v>
      </c>
      <c r="D29" s="10">
        <v>88.7622961299395</v>
      </c>
      <c r="E29" s="10">
        <v>-1.8455030165199799</v>
      </c>
      <c r="F29" s="10">
        <v>0.51914898392726905</v>
      </c>
      <c r="G29" s="10">
        <v>0.72077435270181178</v>
      </c>
      <c r="H29" s="2" t="s">
        <v>2</v>
      </c>
      <c r="I29" s="4">
        <v>45</v>
      </c>
    </row>
    <row r="30" spans="1:9" x14ac:dyDescent="0.2">
      <c r="A30" s="7">
        <v>580.29425135983502</v>
      </c>
      <c r="B30" s="10">
        <f>A30/1000</f>
        <v>0.58029425135983503</v>
      </c>
      <c r="C30" s="10">
        <v>59.3430600733112</v>
      </c>
      <c r="D30" s="10">
        <v>87.156009193950595</v>
      </c>
      <c r="E30" s="10">
        <v>-1.2542090392121401</v>
      </c>
      <c r="F30" s="10">
        <v>0.42648496741080799</v>
      </c>
      <c r="G30" s="10">
        <v>0.65718294821715961</v>
      </c>
      <c r="H30" s="2" t="s">
        <v>1</v>
      </c>
      <c r="I30" s="4">
        <v>7</v>
      </c>
    </row>
    <row r="31" spans="1:9" x14ac:dyDescent="0.2">
      <c r="A31" s="7">
        <v>590.72666727918704</v>
      </c>
      <c r="B31" s="10">
        <f>A31/1000</f>
        <v>0.59072666727918699</v>
      </c>
      <c r="C31" s="10">
        <v>53.234254365441501</v>
      </c>
      <c r="D31" s="10">
        <v>84.001652261162803</v>
      </c>
      <c r="E31" s="10">
        <v>-1.6029365486603899</v>
      </c>
      <c r="F31" s="10">
        <v>0.47425413366283098</v>
      </c>
      <c r="G31" s="10">
        <v>0.68914220832588857</v>
      </c>
      <c r="H31" s="2" t="s">
        <v>1</v>
      </c>
      <c r="I31" s="4">
        <v>6</v>
      </c>
    </row>
    <row r="32" spans="1:9" x14ac:dyDescent="0.2">
      <c r="A32" s="7">
        <v>601.45258916049897</v>
      </c>
      <c r="B32" s="10">
        <f>A32/1000</f>
        <v>0.60145258916049893</v>
      </c>
      <c r="C32" s="10">
        <v>61.828991696401097</v>
      </c>
      <c r="D32" s="10">
        <v>90.553527485067306</v>
      </c>
      <c r="E32" s="10">
        <v>-1.3489249904778999</v>
      </c>
      <c r="F32" s="10">
        <v>0.45394312127267</v>
      </c>
      <c r="G32" s="10">
        <v>0.67532537146976346</v>
      </c>
      <c r="H32" s="2" t="s">
        <v>2</v>
      </c>
      <c r="I32" s="4">
        <v>47</v>
      </c>
    </row>
    <row r="33" spans="1:9" x14ac:dyDescent="0.2">
      <c r="A33" s="7">
        <v>604.11009325438704</v>
      </c>
      <c r="B33" s="10">
        <f>A33/1000</f>
        <v>0.60411009325438703</v>
      </c>
      <c r="C33" s="10">
        <v>61.828991696401097</v>
      </c>
      <c r="D33" s="10">
        <v>90.767324362529905</v>
      </c>
      <c r="E33" s="10">
        <v>-1.80087997983491</v>
      </c>
      <c r="F33" s="10">
        <v>0.51284223716865396</v>
      </c>
      <c r="G33" s="10">
        <v>0.71624518164114026</v>
      </c>
      <c r="H33" s="2" t="s">
        <v>1</v>
      </c>
      <c r="I33" s="4">
        <v>24</v>
      </c>
    </row>
    <row r="34" spans="1:9" x14ac:dyDescent="0.2">
      <c r="A34" s="7">
        <v>607.58991213524496</v>
      </c>
      <c r="B34" s="10">
        <f>A34/1000</f>
        <v>0.60758991213524494</v>
      </c>
      <c r="C34" s="10">
        <v>59.3430600733112</v>
      </c>
      <c r="D34" s="10">
        <v>89.3784165497446</v>
      </c>
      <c r="E34" s="10">
        <v>2.4590284771086601E-2</v>
      </c>
      <c r="F34" s="10">
        <v>0.34495217371390102</v>
      </c>
      <c r="G34" s="10">
        <v>0.60744711880948565</v>
      </c>
      <c r="H34" s="2" t="s">
        <v>1</v>
      </c>
      <c r="I34" s="4">
        <v>5</v>
      </c>
    </row>
    <row r="35" spans="1:9" x14ac:dyDescent="0.2">
      <c r="A35" s="7">
        <v>608.18571263172703</v>
      </c>
      <c r="B35" s="10">
        <f>A35/1000</f>
        <v>0.60818571263172705</v>
      </c>
      <c r="C35" s="10">
        <v>61.828991696401097</v>
      </c>
      <c r="D35" s="10">
        <v>91.096056626458406</v>
      </c>
      <c r="E35" s="10">
        <v>-1.95865706981035</v>
      </c>
      <c r="F35" s="10">
        <v>0.53547540824772299</v>
      </c>
      <c r="G35" s="10">
        <v>0.73262126152471552</v>
      </c>
      <c r="H35" s="2" t="s">
        <v>1</v>
      </c>
      <c r="I35" s="4">
        <v>27</v>
      </c>
    </row>
    <row r="36" spans="1:9" x14ac:dyDescent="0.2">
      <c r="A36" s="7">
        <v>628.32068759515801</v>
      </c>
      <c r="B36" s="10">
        <f>A36/1000</f>
        <v>0.62832068759515802</v>
      </c>
      <c r="C36" s="10">
        <v>61.828991696401097</v>
      </c>
      <c r="D36" s="10">
        <v>92.734812990377407</v>
      </c>
      <c r="E36" s="10">
        <v>-0.493272403930267</v>
      </c>
      <c r="F36" s="10">
        <v>0.37817075340711898</v>
      </c>
      <c r="G36" s="10">
        <v>0.6269075838849838</v>
      </c>
      <c r="H36" s="2" t="s">
        <v>1</v>
      </c>
      <c r="I36" s="4">
        <v>23</v>
      </c>
    </row>
    <row r="37" spans="1:9" x14ac:dyDescent="0.2">
      <c r="A37" s="7">
        <v>629.17672087981896</v>
      </c>
      <c r="B37" s="10">
        <f>A37/1000</f>
        <v>0.62917672087981891</v>
      </c>
      <c r="C37" s="10">
        <v>61.828991696401097</v>
      </c>
      <c r="D37" s="10">
        <v>92.805014422542598</v>
      </c>
      <c r="E37" s="10">
        <v>-0.14099225867514301</v>
      </c>
      <c r="F37" s="10">
        <v>0.36616330350486398</v>
      </c>
      <c r="G37" s="10">
        <v>0.61973830350688763</v>
      </c>
      <c r="H37" s="2" t="s">
        <v>1</v>
      </c>
      <c r="I37" s="4">
        <v>16</v>
      </c>
    </row>
    <row r="38" spans="1:9" x14ac:dyDescent="0.2">
      <c r="A38" s="7">
        <v>634.25885846937001</v>
      </c>
      <c r="B38" s="10">
        <f>A38/1000</f>
        <v>0.63425885846937002</v>
      </c>
      <c r="C38" s="10">
        <v>61.828991696401097</v>
      </c>
      <c r="D38" s="10">
        <v>93.222659470274394</v>
      </c>
      <c r="E38" s="10">
        <v>-2.0024850217533801</v>
      </c>
      <c r="F38" s="10">
        <v>0.54192090072925503</v>
      </c>
      <c r="G38" s="10">
        <v>0.73734541610239035</v>
      </c>
      <c r="H38" s="2" t="s">
        <v>1</v>
      </c>
      <c r="I38" s="4">
        <v>19</v>
      </c>
    </row>
    <row r="39" spans="1:9" x14ac:dyDescent="0.2">
      <c r="A39" s="7">
        <v>640</v>
      </c>
      <c r="B39" s="10">
        <f>A39/1000</f>
        <v>0.64</v>
      </c>
      <c r="C39" s="10">
        <v>90.909090909090907</v>
      </c>
      <c r="D39" s="10">
        <v>114.980967163776</v>
      </c>
      <c r="E39" s="10">
        <v>-2.12</v>
      </c>
      <c r="F39" s="10">
        <v>0.57809631636973602</v>
      </c>
      <c r="G39" s="10">
        <v>0.76432673052841604</v>
      </c>
      <c r="H39" s="2" t="s">
        <v>1</v>
      </c>
      <c r="I39" s="4">
        <v>126</v>
      </c>
    </row>
    <row r="40" spans="1:9" x14ac:dyDescent="0.2">
      <c r="A40" s="7">
        <v>648.56634389305702</v>
      </c>
      <c r="B40" s="10">
        <f>A40/1000</f>
        <v>0.64856634389305701</v>
      </c>
      <c r="C40" s="10">
        <v>61.828991696401097</v>
      </c>
      <c r="D40" s="10">
        <v>94.406290434517203</v>
      </c>
      <c r="E40" s="10">
        <v>-0.81599603573689905</v>
      </c>
      <c r="F40" s="10">
        <v>0.39989297739129598</v>
      </c>
      <c r="G40" s="10">
        <v>0.64024557270384586</v>
      </c>
      <c r="H40" s="2" t="s">
        <v>1</v>
      </c>
      <c r="I40" s="4">
        <v>20</v>
      </c>
    </row>
    <row r="41" spans="1:9" x14ac:dyDescent="0.2">
      <c r="A41" s="7">
        <v>662.47038379901005</v>
      </c>
      <c r="B41" s="10">
        <f>A41/1000</f>
        <v>0.66247038379901002</v>
      </c>
      <c r="C41" s="10">
        <v>61.828991696401097</v>
      </c>
      <c r="D41" s="10">
        <v>95.567332431455995</v>
      </c>
      <c r="E41" s="10">
        <v>-1.52544853780912</v>
      </c>
      <c r="F41" s="10">
        <v>0.47577320417768498</v>
      </c>
      <c r="G41" s="10">
        <v>0.69018848281719469</v>
      </c>
      <c r="H41" s="2" t="s">
        <v>1</v>
      </c>
      <c r="I41" s="4">
        <v>29</v>
      </c>
    </row>
    <row r="42" spans="1:9" x14ac:dyDescent="0.2">
      <c r="A42" s="7">
        <v>663.23096729250301</v>
      </c>
      <c r="B42" s="10">
        <f>A42/1000</f>
        <v>0.66323096729250297</v>
      </c>
      <c r="C42" s="10">
        <v>53.234254365441501</v>
      </c>
      <c r="D42" s="10">
        <v>90.312663348785705</v>
      </c>
      <c r="E42" s="10">
        <v>-1.1686119064096001</v>
      </c>
      <c r="F42" s="10">
        <v>0.42043657268025802</v>
      </c>
      <c r="G42" s="10">
        <v>0.6532739943141177</v>
      </c>
      <c r="H42" s="2" t="s">
        <v>2</v>
      </c>
      <c r="I42" s="4">
        <v>91</v>
      </c>
    </row>
    <row r="43" spans="1:9" x14ac:dyDescent="0.2">
      <c r="A43" s="7">
        <v>668.08910900296996</v>
      </c>
      <c r="B43" s="10">
        <f>A43/1000</f>
        <v>0.66808910900296992</v>
      </c>
      <c r="C43" s="10">
        <v>61.828991696401097</v>
      </c>
      <c r="D43" s="10">
        <v>96.039446118618699</v>
      </c>
      <c r="E43" s="10">
        <v>-0.78124922508005001</v>
      </c>
      <c r="F43" s="10">
        <v>0.39710757512400802</v>
      </c>
      <c r="G43" s="10">
        <v>0.63850953494906382</v>
      </c>
      <c r="H43" s="2" t="s">
        <v>1</v>
      </c>
      <c r="I43" s="4">
        <v>21</v>
      </c>
    </row>
    <row r="44" spans="1:9" x14ac:dyDescent="0.2">
      <c r="A44" s="7">
        <v>677.63945757554905</v>
      </c>
      <c r="B44" s="10">
        <f>A44/1000</f>
        <v>0.677639457575549</v>
      </c>
      <c r="C44" s="10">
        <v>53.234254365441501</v>
      </c>
      <c r="D44" s="10">
        <v>91.597752018541698</v>
      </c>
      <c r="E44" s="10">
        <v>-1.4507304098489999</v>
      </c>
      <c r="F44" s="10">
        <v>0.45423067819936602</v>
      </c>
      <c r="G44" s="10">
        <v>0.67551869627528149</v>
      </c>
      <c r="H44" s="2" t="s">
        <v>1</v>
      </c>
      <c r="I44" s="4">
        <v>8</v>
      </c>
    </row>
    <row r="45" spans="1:9" x14ac:dyDescent="0.2">
      <c r="A45" s="7">
        <v>678.33698469074102</v>
      </c>
      <c r="B45" s="10">
        <f>A45/1000</f>
        <v>0.678336984690741</v>
      </c>
      <c r="C45" s="10">
        <v>61.828991696401097</v>
      </c>
      <c r="D45" s="10">
        <v>96.904752712472799</v>
      </c>
      <c r="E45" s="10">
        <v>-1.5333358932413399</v>
      </c>
      <c r="F45" s="10">
        <v>0.47678629448992299</v>
      </c>
      <c r="G45" s="10">
        <v>0.6908872343685557</v>
      </c>
      <c r="H45" s="2" t="s">
        <v>2</v>
      </c>
      <c r="I45" s="4">
        <v>57</v>
      </c>
    </row>
    <row r="46" spans="1:9" x14ac:dyDescent="0.2">
      <c r="A46" s="7">
        <v>680</v>
      </c>
      <c r="B46" s="10">
        <f>A46/1000</f>
        <v>0.68</v>
      </c>
      <c r="C46" s="10">
        <v>90.909090909090907</v>
      </c>
      <c r="D46" s="10">
        <v>117.726389607077</v>
      </c>
      <c r="E46" s="10">
        <v>-2.37</v>
      </c>
      <c r="F46" s="10">
        <v>0.615707195832774</v>
      </c>
      <c r="G46" s="10">
        <v>0.79315531329006295</v>
      </c>
      <c r="H46" s="2" t="s">
        <v>2</v>
      </c>
      <c r="I46" s="4">
        <v>136</v>
      </c>
    </row>
    <row r="47" spans="1:9" x14ac:dyDescent="0.2">
      <c r="A47" s="7">
        <v>680.43736545063098</v>
      </c>
      <c r="B47" s="10">
        <f>A47/1000</f>
        <v>0.68043736545063094</v>
      </c>
      <c r="C47" s="10">
        <v>61.828991696401097</v>
      </c>
      <c r="D47" s="10">
        <v>97.082767856301501</v>
      </c>
      <c r="E47" s="10">
        <v>-2.0389950801426</v>
      </c>
      <c r="F47" s="10">
        <v>0.54733942816790804</v>
      </c>
      <c r="G47" s="10">
        <v>0.7413369339424366</v>
      </c>
      <c r="H47" s="2" t="s">
        <v>2</v>
      </c>
      <c r="I47" s="4">
        <v>43</v>
      </c>
    </row>
    <row r="48" spans="1:9" x14ac:dyDescent="0.2">
      <c r="A48" s="7">
        <v>714.59672179922097</v>
      </c>
      <c r="B48" s="10">
        <f>A48/1000</f>
        <v>0.71459672179922096</v>
      </c>
      <c r="C48" s="10">
        <v>61.828991696401097</v>
      </c>
      <c r="D48" s="10">
        <v>100.008353447842</v>
      </c>
      <c r="E48" s="10">
        <v>-1.3205721556482899</v>
      </c>
      <c r="F48" s="10">
        <v>0.45059609949963603</v>
      </c>
      <c r="G48" s="10">
        <v>0.67308011773063525</v>
      </c>
      <c r="H48" s="2" t="s">
        <v>1</v>
      </c>
      <c r="I48" s="4">
        <v>22</v>
      </c>
    </row>
    <row r="49" spans="1:9" x14ac:dyDescent="0.2">
      <c r="A49" s="7">
        <v>740</v>
      </c>
      <c r="B49" s="10">
        <f>A49/1000</f>
        <v>0.74</v>
      </c>
      <c r="C49" s="10">
        <v>90.909090909090907</v>
      </c>
      <c r="D49" s="10">
        <v>122.026320152324</v>
      </c>
      <c r="E49" s="10">
        <v>-1.1000000000000001</v>
      </c>
      <c r="F49" s="10">
        <v>0.45035469465773098</v>
      </c>
      <c r="G49" s="10">
        <v>0.67291853221638809</v>
      </c>
      <c r="H49" s="2" t="s">
        <v>1</v>
      </c>
      <c r="I49" s="4">
        <v>133</v>
      </c>
    </row>
    <row r="50" spans="1:9" x14ac:dyDescent="0.2">
      <c r="A50" s="7">
        <v>750</v>
      </c>
      <c r="B50" s="10">
        <f>A50/1000</f>
        <v>0.75</v>
      </c>
      <c r="C50" s="10">
        <v>90.909090909090907</v>
      </c>
      <c r="D50" s="10">
        <v>122.762831548956</v>
      </c>
      <c r="E50" s="10">
        <v>-1.19</v>
      </c>
      <c r="F50" s="10">
        <v>0.45941631555731399</v>
      </c>
      <c r="G50" s="10">
        <v>0.67901645856360326</v>
      </c>
      <c r="H50" s="2" t="s">
        <v>1</v>
      </c>
      <c r="I50" s="4">
        <v>125</v>
      </c>
    </row>
    <row r="51" spans="1:9" x14ac:dyDescent="0.2">
      <c r="A51" s="7">
        <v>770.30397181415503</v>
      </c>
      <c r="B51" s="10">
        <f>A51/1000</f>
        <v>0.770303971814155</v>
      </c>
      <c r="C51" s="10">
        <v>61.828991696401097</v>
      </c>
      <c r="D51" s="10">
        <v>104.89318158491</v>
      </c>
      <c r="E51" s="10">
        <v>-0.99239435739140203</v>
      </c>
      <c r="F51" s="10">
        <v>0.41554094211838399</v>
      </c>
      <c r="G51" s="10">
        <v>0.65013404354535542</v>
      </c>
      <c r="H51" s="2" t="s">
        <v>1</v>
      </c>
      <c r="I51" s="4">
        <v>18</v>
      </c>
    </row>
    <row r="52" spans="1:9" x14ac:dyDescent="0.2">
      <c r="A52" s="7">
        <v>773.25148299541104</v>
      </c>
      <c r="B52" s="10">
        <f>A52/1000</f>
        <v>0.77325148299541102</v>
      </c>
      <c r="C52" s="10">
        <v>61.828991696401097</v>
      </c>
      <c r="D52" s="10">
        <v>105.15526744412</v>
      </c>
      <c r="E52" s="10">
        <v>-0.95350940863281297</v>
      </c>
      <c r="F52" s="10">
        <v>0.411883017187398</v>
      </c>
      <c r="G52" s="10">
        <v>0.64780214560264804</v>
      </c>
      <c r="H52" s="2" t="s">
        <v>2</v>
      </c>
      <c r="I52" s="4">
        <v>34</v>
      </c>
    </row>
    <row r="53" spans="1:9" x14ac:dyDescent="0.2">
      <c r="A53" s="7">
        <v>776.22887637775796</v>
      </c>
      <c r="B53" s="10">
        <f>A53/1000</f>
        <v>0.77622887637775795</v>
      </c>
      <c r="C53" s="10">
        <v>61.828991696401097</v>
      </c>
      <c r="D53" s="10">
        <v>105.420361236898</v>
      </c>
      <c r="E53" s="10">
        <v>-0.47072366495004597</v>
      </c>
      <c r="F53" s="10">
        <v>0.37701941979572201</v>
      </c>
      <c r="G53" s="10">
        <v>0.6262137357988109</v>
      </c>
      <c r="H53" s="2" t="s">
        <v>1</v>
      </c>
      <c r="I53" s="4">
        <v>14</v>
      </c>
    </row>
    <row r="54" spans="1:9" x14ac:dyDescent="0.2">
      <c r="A54" s="7">
        <v>781.21301395348098</v>
      </c>
      <c r="B54" s="10">
        <f>A54/1000</f>
        <v>0.78121301395348097</v>
      </c>
      <c r="C54" s="10">
        <v>61.828991696401097</v>
      </c>
      <c r="D54" s="10">
        <v>105.864908584262</v>
      </c>
      <c r="E54" s="10">
        <v>-1.3277760550293201</v>
      </c>
      <c r="F54" s="10">
        <v>0.45144211394785799</v>
      </c>
      <c r="G54" s="10">
        <v>0.67364677854622801</v>
      </c>
      <c r="H54" s="2" t="s">
        <v>1</v>
      </c>
      <c r="I54" s="4">
        <v>13</v>
      </c>
    </row>
    <row r="55" spans="1:9" x14ac:dyDescent="0.2">
      <c r="A55" s="7">
        <v>788.02136209295395</v>
      </c>
      <c r="B55" s="10">
        <f>A55/1000</f>
        <v>0.78802136209295393</v>
      </c>
      <c r="C55" s="10">
        <v>53.234254365441501</v>
      </c>
      <c r="D55" s="10">
        <v>101.723721962648</v>
      </c>
      <c r="E55" s="10">
        <v>-0.95995177750962701</v>
      </c>
      <c r="F55" s="10">
        <v>0.39874936581866299</v>
      </c>
      <c r="G55" s="10">
        <v>0.63953190439632168</v>
      </c>
      <c r="H55" s="2" t="s">
        <v>1</v>
      </c>
      <c r="I55" s="4">
        <v>9</v>
      </c>
    </row>
    <row r="56" spans="1:9" x14ac:dyDescent="0.2">
      <c r="A56" s="7">
        <v>800.27117133063496</v>
      </c>
      <c r="B56" s="10">
        <f>A56/1000</f>
        <v>0.80027117133063497</v>
      </c>
      <c r="C56" s="10">
        <v>61.828991696401097</v>
      </c>
      <c r="D56" s="10">
        <v>107.57357938134599</v>
      </c>
      <c r="E56" s="10">
        <v>-1.1363806607537199</v>
      </c>
      <c r="F56" s="10">
        <v>0.40028296541165098</v>
      </c>
      <c r="G56" s="10">
        <v>0.64048922894826654</v>
      </c>
      <c r="H56" s="2" t="s">
        <v>2</v>
      </c>
      <c r="I56" s="4">
        <v>46</v>
      </c>
    </row>
    <row r="57" spans="1:9" x14ac:dyDescent="0.2">
      <c r="A57" s="7">
        <v>800.27390742313298</v>
      </c>
      <c r="B57" s="10">
        <f>A57/1000</f>
        <v>0.80027390742313298</v>
      </c>
      <c r="C57" s="10">
        <v>53.234254365441501</v>
      </c>
      <c r="D57" s="10">
        <v>102.874630465252</v>
      </c>
      <c r="E57" s="10">
        <v>-1.1698617260413899</v>
      </c>
      <c r="F57" s="10">
        <v>0.39009667834690898</v>
      </c>
      <c r="G57" s="10">
        <v>0.63417301933880144</v>
      </c>
      <c r="H57" s="2" t="s">
        <v>1</v>
      </c>
      <c r="I57" s="4">
        <v>11</v>
      </c>
    </row>
    <row r="58" spans="1:9" x14ac:dyDescent="0.2">
      <c r="A58" s="7">
        <v>802.54406822153499</v>
      </c>
      <c r="B58" s="10">
        <f>A58/1000</f>
        <v>0.80254406822153501</v>
      </c>
      <c r="C58" s="10">
        <v>53.234254365441501</v>
      </c>
      <c r="D58" s="10">
        <v>103.08839562840799</v>
      </c>
      <c r="E58" s="10">
        <v>-1.18975469111182</v>
      </c>
      <c r="F58" s="10">
        <v>0.39249587148903098</v>
      </c>
      <c r="G58" s="10">
        <v>0.63565164133818919</v>
      </c>
      <c r="H58" s="2" t="s">
        <v>2</v>
      </c>
      <c r="I58" s="4">
        <v>93</v>
      </c>
    </row>
    <row r="59" spans="1:9" x14ac:dyDescent="0.2">
      <c r="A59" s="7">
        <v>817.58219292998695</v>
      </c>
      <c r="B59" s="10">
        <f>A59/1000</f>
        <v>0.81758219292998691</v>
      </c>
      <c r="C59" s="10">
        <v>61.828991696401097</v>
      </c>
      <c r="D59" s="10">
        <v>109.137326267266</v>
      </c>
      <c r="E59" s="10">
        <v>-1.6109867494216199</v>
      </c>
      <c r="F59" s="10">
        <v>0.46085045776892097</v>
      </c>
      <c r="G59" s="10">
        <v>0.67998760608251085</v>
      </c>
      <c r="H59" s="2" t="s">
        <v>2</v>
      </c>
      <c r="I59" s="4">
        <v>32</v>
      </c>
    </row>
    <row r="60" spans="1:9" x14ac:dyDescent="0.2">
      <c r="A60" s="7">
        <v>826.53598254713302</v>
      </c>
      <c r="B60" s="10">
        <f>A60/1000</f>
        <v>0.82653598254713301</v>
      </c>
      <c r="C60" s="10">
        <v>53.234254365441501</v>
      </c>
      <c r="D60" s="10">
        <v>105.357215112354</v>
      </c>
      <c r="E60" s="10">
        <v>-1.45828867402698</v>
      </c>
      <c r="F60" s="10">
        <v>0.42719620130198299</v>
      </c>
      <c r="G60" s="10">
        <v>0.65764473266866841</v>
      </c>
      <c r="H60" s="2" t="s">
        <v>1</v>
      </c>
      <c r="I60" s="4">
        <v>4</v>
      </c>
    </row>
    <row r="61" spans="1:9" x14ac:dyDescent="0.2">
      <c r="A61" s="7">
        <v>833.10075286539404</v>
      </c>
      <c r="B61" s="10">
        <f>A61/1000</f>
        <v>0.83310075286539409</v>
      </c>
      <c r="C61" s="10">
        <v>61.828991696401097</v>
      </c>
      <c r="D61" s="10">
        <v>110.548235054816</v>
      </c>
      <c r="E61" s="10">
        <v>-1.3921093940526501</v>
      </c>
      <c r="F61" s="10">
        <v>0.43138237649877198</v>
      </c>
      <c r="G61" s="10">
        <v>0.66037167924868512</v>
      </c>
      <c r="H61" s="2" t="s">
        <v>2</v>
      </c>
      <c r="I61" s="4">
        <v>33</v>
      </c>
    </row>
    <row r="62" spans="1:9" x14ac:dyDescent="0.2">
      <c r="A62" s="7">
        <v>833.36110460387795</v>
      </c>
      <c r="B62" s="10">
        <f>A62/1000</f>
        <v>0.83336110460387791</v>
      </c>
      <c r="C62" s="10">
        <v>61.828991696401097</v>
      </c>
      <c r="D62" s="10">
        <v>110.571976808138</v>
      </c>
      <c r="E62" s="10">
        <v>-1.22078339917842</v>
      </c>
      <c r="F62" s="10">
        <v>0.41010303151979599</v>
      </c>
      <c r="G62" s="10">
        <v>0.64667186150452438</v>
      </c>
      <c r="H62" s="2" t="s">
        <v>1</v>
      </c>
      <c r="I62" s="4">
        <v>17</v>
      </c>
    </row>
    <row r="63" spans="1:9" x14ac:dyDescent="0.2">
      <c r="A63" s="7">
        <v>846.26825938151296</v>
      </c>
      <c r="B63" s="10">
        <f>A63/1000</f>
        <v>0.84626825938151296</v>
      </c>
      <c r="C63" s="10">
        <v>61.828991696401097</v>
      </c>
      <c r="D63" s="10">
        <v>111.75187163048599</v>
      </c>
      <c r="E63" s="10">
        <v>-1.09083423141543</v>
      </c>
      <c r="F63" s="10">
        <v>0.39518196437900599</v>
      </c>
      <c r="G63" s="10">
        <v>0.6373137257037933</v>
      </c>
      <c r="H63" s="2" t="s">
        <v>2</v>
      </c>
      <c r="I63" s="4">
        <v>65</v>
      </c>
    </row>
    <row r="64" spans="1:9" x14ac:dyDescent="0.2">
      <c r="A64" s="7">
        <v>853.65203317592295</v>
      </c>
      <c r="B64" s="10">
        <f>A64/1000</f>
        <v>0.85365203317592298</v>
      </c>
      <c r="C64" s="10">
        <v>53.234254365441501</v>
      </c>
      <c r="D64" s="10">
        <v>107.9417414264</v>
      </c>
      <c r="E64" s="10">
        <v>-1.0990321323616199</v>
      </c>
      <c r="F64" s="10">
        <v>0.38176854932480198</v>
      </c>
      <c r="G64" s="10">
        <v>0.62908443412117876</v>
      </c>
      <c r="H64" s="2" t="s">
        <v>2</v>
      </c>
      <c r="I64" s="4">
        <v>92</v>
      </c>
    </row>
    <row r="65" spans="1:9" x14ac:dyDescent="0.2">
      <c r="A65" s="7">
        <v>854.74494434321298</v>
      </c>
      <c r="B65" s="10">
        <f>A65/1000</f>
        <v>0.85474494434321302</v>
      </c>
      <c r="C65" s="10">
        <v>59.3430600733112</v>
      </c>
      <c r="D65" s="10">
        <v>111.183293301719</v>
      </c>
      <c r="E65" s="10">
        <v>-1.47788478314881</v>
      </c>
      <c r="F65" s="10">
        <v>0.426175025261045</v>
      </c>
      <c r="G65" s="10">
        <v>0.65698185070536941</v>
      </c>
      <c r="H65" s="2" t="s">
        <v>2</v>
      </c>
      <c r="I65" s="4">
        <v>64</v>
      </c>
    </row>
    <row r="66" spans="1:9" x14ac:dyDescent="0.2">
      <c r="A66" s="7">
        <v>857.81442801549895</v>
      </c>
      <c r="B66" s="10">
        <f>A66/1000</f>
        <v>0.8578144280154989</v>
      </c>
      <c r="C66" s="10">
        <v>61.828991696401097</v>
      </c>
      <c r="D66" s="10">
        <v>112.812037870182</v>
      </c>
      <c r="E66" s="10">
        <v>-0.982694358700686</v>
      </c>
      <c r="F66" s="10">
        <v>0.38366592272213701</v>
      </c>
      <c r="G66" s="10">
        <v>0.63023768552684056</v>
      </c>
      <c r="H66" s="2" t="s">
        <v>1</v>
      </c>
      <c r="I66" s="4">
        <v>12</v>
      </c>
    </row>
    <row r="67" spans="1:9" x14ac:dyDescent="0.2">
      <c r="A67" s="7">
        <v>872.55598844912902</v>
      </c>
      <c r="B67" s="10">
        <f>A67/1000</f>
        <v>0.87255598844912907</v>
      </c>
      <c r="C67" s="10">
        <v>53.234254365441501</v>
      </c>
      <c r="D67" s="10">
        <v>109.755494937081</v>
      </c>
      <c r="E67" s="10">
        <v>-1.1138980050757801</v>
      </c>
      <c r="F67" s="10">
        <v>0.38348808425230402</v>
      </c>
      <c r="G67" s="10">
        <v>0.63012943968957857</v>
      </c>
      <c r="H67" s="2" t="s">
        <v>1</v>
      </c>
      <c r="I67" s="4">
        <v>10</v>
      </c>
    </row>
    <row r="68" spans="1:9" x14ac:dyDescent="0.2">
      <c r="A68" s="7">
        <v>875.93315559943801</v>
      </c>
      <c r="B68" s="10">
        <f>A68/1000</f>
        <v>0.87593315559943796</v>
      </c>
      <c r="C68" s="10">
        <v>61.828991696401097</v>
      </c>
      <c r="D68" s="10">
        <v>114.484308184319</v>
      </c>
      <c r="E68" s="10">
        <v>-1.27887474240662</v>
      </c>
      <c r="F68" s="10">
        <v>0.41712448552436598</v>
      </c>
      <c r="G68" s="10">
        <v>0.65114732313353407</v>
      </c>
      <c r="H68" s="2" t="s">
        <v>1</v>
      </c>
      <c r="I68" s="4">
        <v>30</v>
      </c>
    </row>
    <row r="69" spans="1:9" x14ac:dyDescent="0.2">
      <c r="A69" s="7">
        <v>880</v>
      </c>
      <c r="B69" s="10">
        <f>A69/1000</f>
        <v>0.88</v>
      </c>
      <c r="C69" s="10">
        <v>90.909090909090907</v>
      </c>
      <c r="D69" s="10">
        <v>132.79571834180999</v>
      </c>
      <c r="E69" s="10">
        <v>-0.92</v>
      </c>
      <c r="F69" s="10">
        <v>0.40443411206308699</v>
      </c>
      <c r="G69" s="10">
        <v>0.64309171274419141</v>
      </c>
      <c r="H69" s="2" t="s">
        <v>2</v>
      </c>
      <c r="I69" s="4">
        <v>132</v>
      </c>
    </row>
    <row r="70" spans="1:9" x14ac:dyDescent="0.2">
      <c r="A70" s="7">
        <v>891.04806935775605</v>
      </c>
      <c r="B70" s="10">
        <f>A70/1000</f>
        <v>0.89104806935775605</v>
      </c>
      <c r="C70" s="10">
        <v>61.828991696401097</v>
      </c>
      <c r="D70" s="10">
        <v>115.887103783201</v>
      </c>
      <c r="E70" s="10">
        <v>-1.02684617434023</v>
      </c>
      <c r="F70" s="10">
        <v>0.38826348628686402</v>
      </c>
      <c r="G70" s="10">
        <v>0.633047024148783</v>
      </c>
      <c r="H70" s="2" t="s">
        <v>2</v>
      </c>
      <c r="I70" s="4">
        <v>66</v>
      </c>
    </row>
    <row r="71" spans="1:9" x14ac:dyDescent="0.2">
      <c r="A71" s="7">
        <v>941.42809465745995</v>
      </c>
      <c r="B71" s="10">
        <f>A71/1000</f>
        <v>0.94142809465745991</v>
      </c>
      <c r="C71" s="10">
        <v>61.828991696401097</v>
      </c>
      <c r="D71" s="10">
        <v>120.610510275262</v>
      </c>
      <c r="E71" s="10">
        <v>-1.4232857956865099</v>
      </c>
      <c r="F71" s="10">
        <v>0.43543278517064199</v>
      </c>
      <c r="G71" s="10">
        <v>0.66302466801881699</v>
      </c>
      <c r="H71" s="2" t="s">
        <v>2</v>
      </c>
      <c r="I71" s="4">
        <v>36</v>
      </c>
    </row>
    <row r="72" spans="1:9" x14ac:dyDescent="0.2">
      <c r="A72" s="7">
        <v>944.18210564136996</v>
      </c>
      <c r="B72" s="10">
        <f>A72/1000</f>
        <v>0.94418210564136995</v>
      </c>
      <c r="C72" s="10">
        <v>53.234254365441501</v>
      </c>
      <c r="D72" s="10">
        <v>116.708148841742</v>
      </c>
      <c r="E72" s="10">
        <v>-1.0578697457330799</v>
      </c>
      <c r="F72" s="10">
        <v>0.37708871117089299</v>
      </c>
      <c r="G72" s="10">
        <v>0.62625545593832965</v>
      </c>
      <c r="H72" s="2" t="s">
        <v>2</v>
      </c>
      <c r="I72" s="4">
        <v>96</v>
      </c>
    </row>
    <row r="73" spans="1:9" x14ac:dyDescent="0.2">
      <c r="A73" s="7">
        <v>958.53780072018003</v>
      </c>
      <c r="B73" s="10">
        <f>A73/1000</f>
        <v>0.95853780072018002</v>
      </c>
      <c r="C73" s="10">
        <v>61.828991696401097</v>
      </c>
      <c r="D73" s="10">
        <v>122.23027558935</v>
      </c>
      <c r="E73" s="10">
        <v>-1.83854137019412</v>
      </c>
      <c r="F73" s="10">
        <v>0.49374222722991201</v>
      </c>
      <c r="G73" s="10">
        <v>0.70269579972414387</v>
      </c>
      <c r="H73" s="2" t="s">
        <v>2</v>
      </c>
      <c r="I73" s="4">
        <v>54</v>
      </c>
    </row>
    <row r="74" spans="1:9" x14ac:dyDescent="0.2">
      <c r="A74" s="7">
        <v>1003.55152785143</v>
      </c>
      <c r="B74" s="10">
        <f>A74/1000</f>
        <v>1.00355152785143</v>
      </c>
      <c r="C74" s="10">
        <v>53.234254365441501</v>
      </c>
      <c r="D74" s="10">
        <v>122.556050170463</v>
      </c>
      <c r="E74" s="10">
        <v>-1.3070025028244501</v>
      </c>
      <c r="F74" s="10">
        <v>0.40713951150754901</v>
      </c>
      <c r="G74" s="10">
        <v>0.64479654297352251</v>
      </c>
      <c r="H74" s="2" t="s">
        <v>2</v>
      </c>
      <c r="I74" s="4">
        <v>90</v>
      </c>
    </row>
    <row r="75" spans="1:9" x14ac:dyDescent="0.2">
      <c r="A75" s="7">
        <v>1031.52331731187</v>
      </c>
      <c r="B75" s="10">
        <f>A75/1000</f>
        <v>1.0315233173118699</v>
      </c>
      <c r="C75" s="10">
        <v>53.234254365441501</v>
      </c>
      <c r="D75" s="10">
        <v>125.334648534064</v>
      </c>
      <c r="E75" s="10">
        <v>-1.3896950304222999</v>
      </c>
      <c r="F75" s="10">
        <v>0.41795029756927798</v>
      </c>
      <c r="G75" s="10">
        <v>0.65167664622744303</v>
      </c>
      <c r="H75" s="2" t="s">
        <v>2</v>
      </c>
      <c r="I75" s="4">
        <v>94</v>
      </c>
    </row>
    <row r="76" spans="1:9" x14ac:dyDescent="0.2">
      <c r="A76" s="7">
        <v>1043.48514437104</v>
      </c>
      <c r="B76" s="10">
        <f>A76/1000</f>
        <v>1.04348514437104</v>
      </c>
      <c r="C76" s="10">
        <v>61.828991696401097</v>
      </c>
      <c r="D76" s="10">
        <v>130.37655194521199</v>
      </c>
      <c r="E76" s="10">
        <v>-1.30800198054148</v>
      </c>
      <c r="F76" s="10">
        <v>0.42072173630246401</v>
      </c>
      <c r="G76" s="10">
        <v>0.65345755745676404</v>
      </c>
      <c r="H76" s="2" t="s">
        <v>2</v>
      </c>
      <c r="I76" s="4">
        <v>38</v>
      </c>
    </row>
    <row r="77" spans="1:9" x14ac:dyDescent="0.2">
      <c r="A77" s="7">
        <v>1083.9061606543</v>
      </c>
      <c r="B77" s="10">
        <f>A77/1000</f>
        <v>1.0839061606543001</v>
      </c>
      <c r="C77" s="10">
        <v>61.828991696401097</v>
      </c>
      <c r="D77" s="10">
        <v>134.307632887919</v>
      </c>
      <c r="E77" s="10">
        <v>-2.17740696076463</v>
      </c>
      <c r="F77" s="10">
        <v>0.54609161783055504</v>
      </c>
      <c r="G77" s="10">
        <v>0.74041613641572734</v>
      </c>
      <c r="H77" s="2" t="s">
        <v>2</v>
      </c>
      <c r="I77" s="4">
        <v>53</v>
      </c>
    </row>
    <row r="78" spans="1:9" x14ac:dyDescent="0.2">
      <c r="A78" s="7">
        <v>1143.4573761888601</v>
      </c>
      <c r="B78" s="10">
        <f>A78/1000</f>
        <v>1.14345737618886</v>
      </c>
      <c r="C78" s="10">
        <v>61.828991696401097</v>
      </c>
      <c r="D78" s="10">
        <v>140.155310085769</v>
      </c>
      <c r="E78" s="10">
        <v>-1.2169691746844999</v>
      </c>
      <c r="F78" s="10">
        <v>0.40964932691099798</v>
      </c>
      <c r="G78" s="10">
        <v>0.64638422864317602</v>
      </c>
      <c r="H78" s="2" t="s">
        <v>2</v>
      </c>
      <c r="I78" s="4">
        <v>31</v>
      </c>
    </row>
    <row r="79" spans="1:9" x14ac:dyDescent="0.2">
      <c r="A79" s="7">
        <v>1157.8343100258901</v>
      </c>
      <c r="B79" s="10">
        <f>A79/1000</f>
        <v>1.1578343100258901</v>
      </c>
      <c r="C79" s="10">
        <v>61.828991696401097</v>
      </c>
      <c r="D79" s="10">
        <v>141.57628938780201</v>
      </c>
      <c r="E79" s="10">
        <v>-1.3337902489857201</v>
      </c>
      <c r="F79" s="10">
        <v>0.42394795586831002</v>
      </c>
      <c r="G79" s="10">
        <v>0.65553937279534824</v>
      </c>
      <c r="H79" s="2" t="s">
        <v>2</v>
      </c>
      <c r="I79" s="4">
        <v>55</v>
      </c>
    </row>
    <row r="80" spans="1:9" x14ac:dyDescent="0.2">
      <c r="A80" s="7">
        <v>1163.2172555933</v>
      </c>
      <c r="B80" s="10">
        <f>A80/1000</f>
        <v>1.1632172555933</v>
      </c>
      <c r="C80" s="10">
        <v>59.3430600733112</v>
      </c>
      <c r="D80" s="10">
        <v>141.04537859056501</v>
      </c>
      <c r="E80" s="10">
        <v>-1.54773421781551</v>
      </c>
      <c r="F80" s="10">
        <v>0.435980117924682</v>
      </c>
      <c r="G80" s="10">
        <v>0.66338425005845569</v>
      </c>
      <c r="H80" s="2" t="s">
        <v>2</v>
      </c>
      <c r="I80" s="4">
        <v>67</v>
      </c>
    </row>
    <row r="81" spans="1:9" x14ac:dyDescent="0.2">
      <c r="A81" s="7">
        <v>1201.75207448131</v>
      </c>
      <c r="B81" s="10">
        <f>A81/1000</f>
        <v>1.2017520744813099</v>
      </c>
      <c r="C81" s="10">
        <v>53.234254365441501</v>
      </c>
      <c r="D81" s="10">
        <v>142.50895840240401</v>
      </c>
      <c r="E81" s="10">
        <v>-0.43024819112869001</v>
      </c>
      <c r="F81" s="10">
        <v>0.26372108443165998</v>
      </c>
      <c r="G81" s="10">
        <v>0.56528648522126435</v>
      </c>
      <c r="H81" s="2" t="s">
        <v>2</v>
      </c>
      <c r="I81" s="4">
        <v>95</v>
      </c>
    </row>
    <row r="82" spans="1:9" x14ac:dyDescent="0.2">
      <c r="A82" s="7">
        <v>1277.06968710612</v>
      </c>
      <c r="B82" s="10">
        <f>A82/1000</f>
        <v>1.27706968710612</v>
      </c>
      <c r="C82" s="10">
        <v>59.3430600733112</v>
      </c>
      <c r="D82" s="10">
        <v>152.49778131547001</v>
      </c>
      <c r="E82" s="10">
        <v>-1.39998439305089</v>
      </c>
      <c r="F82" s="10">
        <v>0.37063402015624902</v>
      </c>
      <c r="G82" s="10">
        <v>0.62239021272605399</v>
      </c>
      <c r="H82" s="2" t="s">
        <v>2</v>
      </c>
      <c r="I82" s="4">
        <v>37</v>
      </c>
    </row>
    <row r="83" spans="1:9" x14ac:dyDescent="0.2">
      <c r="A83" s="7">
        <v>1309.56115097065</v>
      </c>
      <c r="B83" s="10">
        <f>A83/1000</f>
        <v>1.30956115097065</v>
      </c>
      <c r="C83" s="10">
        <v>61.828991696401097</v>
      </c>
      <c r="D83" s="10">
        <v>156.76008469181701</v>
      </c>
      <c r="E83" s="10">
        <v>-1.63783749997037</v>
      </c>
      <c r="F83" s="10">
        <v>0.424952219909145</v>
      </c>
      <c r="G83" s="10">
        <v>0.65618929372987356</v>
      </c>
      <c r="H83" s="2" t="s">
        <v>2</v>
      </c>
      <c r="I83" s="4">
        <v>42</v>
      </c>
    </row>
    <row r="84" spans="1:9" x14ac:dyDescent="0.2">
      <c r="A84" s="7">
        <v>1374.87174358989</v>
      </c>
      <c r="B84" s="10">
        <f>A84/1000</f>
        <v>1.3748717435898901</v>
      </c>
      <c r="C84" s="10">
        <v>59.3430600733112</v>
      </c>
      <c r="D84" s="10">
        <v>162.46197630787199</v>
      </c>
      <c r="E84" s="10">
        <v>-1.1812631821769299</v>
      </c>
      <c r="F84" s="10">
        <v>0.33880176075163898</v>
      </c>
      <c r="G84" s="10">
        <v>0.60397568915347144</v>
      </c>
      <c r="H84" s="2" t="s">
        <v>2</v>
      </c>
      <c r="I84" s="4">
        <v>68</v>
      </c>
    </row>
    <row r="85" spans="1:9" x14ac:dyDescent="0.2">
      <c r="A85" s="7">
        <v>1380</v>
      </c>
      <c r="B85" s="10">
        <f>A85/1000</f>
        <v>1.38</v>
      </c>
      <c r="C85" s="10">
        <v>90.909090909090907</v>
      </c>
      <c r="D85" s="10">
        <v>176.939828218288</v>
      </c>
      <c r="E85" s="10">
        <v>-1.05</v>
      </c>
      <c r="F85" s="10">
        <v>0.37218659433173801</v>
      </c>
      <c r="G85" s="10">
        <v>0.62331602016975118</v>
      </c>
      <c r="H85" s="2" t="s">
        <v>2</v>
      </c>
      <c r="I85" s="4">
        <v>127</v>
      </c>
    </row>
    <row r="86" spans="1:9" x14ac:dyDescent="0.2">
      <c r="A86" s="7">
        <v>1384.2938471636701</v>
      </c>
      <c r="B86" s="10">
        <f>A86/1000</f>
        <v>1.3842938471636701</v>
      </c>
      <c r="C86" s="10">
        <v>59.3430600733112</v>
      </c>
      <c r="D86" s="10">
        <v>163.42722902850801</v>
      </c>
      <c r="E86" s="10">
        <v>-1.2168587872098999</v>
      </c>
      <c r="F86" s="10">
        <v>0.34380392258689801</v>
      </c>
      <c r="G86" s="10">
        <v>0.60679579529371974</v>
      </c>
      <c r="H86" s="2" t="s">
        <v>2</v>
      </c>
      <c r="I86" s="4">
        <v>78</v>
      </c>
    </row>
    <row r="87" spans="1:9" x14ac:dyDescent="0.2">
      <c r="A87" s="7">
        <v>1410</v>
      </c>
      <c r="B87" s="10">
        <f>A87/1000</f>
        <v>1.41</v>
      </c>
      <c r="C87" s="10">
        <v>90.909090909090907</v>
      </c>
      <c r="D87" s="10">
        <v>179.77895541446799</v>
      </c>
      <c r="E87" s="10">
        <v>-0.73</v>
      </c>
      <c r="F87" s="10">
        <v>0.34020414606564903</v>
      </c>
      <c r="G87" s="10">
        <v>0.60476347525314178</v>
      </c>
      <c r="H87" s="2" t="s">
        <v>2</v>
      </c>
      <c r="I87" s="4">
        <v>135</v>
      </c>
    </row>
    <row r="88" spans="1:9" x14ac:dyDescent="0.2">
      <c r="A88" s="7">
        <v>1421.20009186372</v>
      </c>
      <c r="B88" s="10">
        <f>A88/1000</f>
        <v>1.42120009186372</v>
      </c>
      <c r="C88" s="10">
        <v>59.3430600733112</v>
      </c>
      <c r="D88" s="10">
        <v>167.21631547889501</v>
      </c>
      <c r="E88" s="10">
        <v>-1.33457240425172</v>
      </c>
      <c r="F88" s="10">
        <v>0.36085269148691301</v>
      </c>
      <c r="G88" s="10">
        <v>0.61661549198292875</v>
      </c>
      <c r="H88" s="2" t="s">
        <v>2</v>
      </c>
      <c r="I88" s="4">
        <v>73</v>
      </c>
    </row>
    <row r="89" spans="1:9" x14ac:dyDescent="0.2">
      <c r="A89" s="7">
        <v>1429.4909633227901</v>
      </c>
      <c r="B89" s="10">
        <f>A89/1000</f>
        <v>1.4294909633227901</v>
      </c>
      <c r="C89" s="10">
        <v>61.828991696401097</v>
      </c>
      <c r="D89" s="10">
        <v>168.96301851669801</v>
      </c>
      <c r="E89" s="10">
        <v>-1.4267964309052601</v>
      </c>
      <c r="F89" s="10">
        <v>0.393336807790858</v>
      </c>
      <c r="G89" s="10">
        <v>0.63617123823944</v>
      </c>
      <c r="H89" s="2" t="s">
        <v>2</v>
      </c>
      <c r="I89" s="4">
        <v>39</v>
      </c>
    </row>
    <row r="90" spans="1:9" x14ac:dyDescent="0.2">
      <c r="A90" s="7">
        <v>1507.1805347940999</v>
      </c>
      <c r="B90" s="10">
        <f>A90/1000</f>
        <v>1.5071805347940999</v>
      </c>
      <c r="C90" s="10">
        <v>61.828991696401097</v>
      </c>
      <c r="D90" s="10">
        <v>176.94378063155199</v>
      </c>
      <c r="E90" s="10">
        <v>-0.115369324026782</v>
      </c>
      <c r="F90" s="10">
        <v>0.27169159977886398</v>
      </c>
      <c r="G90" s="10">
        <v>0.56904861425927256</v>
      </c>
      <c r="H90" s="2" t="s">
        <v>2</v>
      </c>
      <c r="I90" s="4">
        <v>59</v>
      </c>
    </row>
    <row r="91" spans="1:9" x14ac:dyDescent="0.2">
      <c r="A91" s="7">
        <v>1521.2969073531999</v>
      </c>
      <c r="B91" s="10">
        <f>A91/1000</f>
        <v>1.5212969073531999</v>
      </c>
      <c r="C91" s="10">
        <v>59.3430600733112</v>
      </c>
      <c r="D91" s="10">
        <v>177.55327248678299</v>
      </c>
      <c r="E91" s="10">
        <v>-0.97756700510875905</v>
      </c>
      <c r="F91" s="10">
        <v>0.31176403712556799</v>
      </c>
      <c r="G91" s="10">
        <v>0.5892340917197787</v>
      </c>
      <c r="H91" s="2" t="s">
        <v>2</v>
      </c>
      <c r="I91" s="4">
        <v>74</v>
      </c>
    </row>
    <row r="92" spans="1:9" x14ac:dyDescent="0.2">
      <c r="A92" s="7">
        <v>1550</v>
      </c>
      <c r="B92" s="10">
        <f>A92/1000</f>
        <v>1.55</v>
      </c>
      <c r="C92" s="10">
        <v>90.909090909090907</v>
      </c>
      <c r="D92" s="10">
        <v>193.22192631768601</v>
      </c>
      <c r="E92" s="10">
        <v>-0.98</v>
      </c>
      <c r="F92" s="10">
        <v>0.364470658627355</v>
      </c>
      <c r="G92" s="10">
        <v>0.61873973607669475</v>
      </c>
      <c r="H92" s="2" t="s">
        <v>2</v>
      </c>
      <c r="I92" s="4">
        <v>134</v>
      </c>
    </row>
    <row r="93" spans="1:9" x14ac:dyDescent="0.2">
      <c r="A93" s="7">
        <v>1602.9531498414201</v>
      </c>
      <c r="B93" s="10">
        <f>A93/1000</f>
        <v>1.60295314984142</v>
      </c>
      <c r="C93" s="10">
        <v>59.3430600733112</v>
      </c>
      <c r="D93" s="10">
        <v>186.04314087319</v>
      </c>
      <c r="E93" s="10">
        <v>-0.43481555216728901</v>
      </c>
      <c r="F93" s="10">
        <v>0.25794167449639099</v>
      </c>
      <c r="G93" s="10">
        <v>0.56261346183858962</v>
      </c>
      <c r="H93" s="2" t="s">
        <v>2</v>
      </c>
      <c r="I93" s="4">
        <v>69</v>
      </c>
    </row>
    <row r="94" spans="1:9" x14ac:dyDescent="0.2">
      <c r="A94" s="7">
        <v>1610</v>
      </c>
      <c r="B94" s="10">
        <f>A94/1000</f>
        <v>1.61</v>
      </c>
      <c r="C94" s="10">
        <v>90.909090909090907</v>
      </c>
      <c r="D94" s="10">
        <v>199.07001986717501</v>
      </c>
      <c r="E94" s="10">
        <v>-0.43</v>
      </c>
      <c r="F94" s="10">
        <v>0.31909067833494897</v>
      </c>
      <c r="G94" s="10">
        <v>0.5931432044626811</v>
      </c>
      <c r="H94" s="2" t="s">
        <v>2</v>
      </c>
      <c r="I94" s="4">
        <v>138</v>
      </c>
    </row>
    <row r="95" spans="1:9" x14ac:dyDescent="0.2">
      <c r="A95" s="7">
        <v>1623.70991459622</v>
      </c>
      <c r="B95" s="10">
        <f>A95/1000</f>
        <v>1.6237099145962199</v>
      </c>
      <c r="C95" s="10">
        <v>61.828991696401097</v>
      </c>
      <c r="D95" s="10">
        <v>189.00707458708101</v>
      </c>
      <c r="E95" s="10">
        <v>-0.86493138657195401</v>
      </c>
      <c r="F95" s="10">
        <v>0.321260290562705</v>
      </c>
      <c r="G95" s="10">
        <v>0.59431319545542116</v>
      </c>
      <c r="H95" s="2" t="s">
        <v>2</v>
      </c>
      <c r="I95" s="4">
        <v>40</v>
      </c>
    </row>
    <row r="96" spans="1:9" x14ac:dyDescent="0.2">
      <c r="A96" s="7">
        <v>1647.2212021544799</v>
      </c>
      <c r="B96" s="10">
        <f>A96/1000</f>
        <v>1.6472212021544799</v>
      </c>
      <c r="C96" s="10">
        <v>61.828991696401097</v>
      </c>
      <c r="D96" s="10">
        <v>191.452893028555</v>
      </c>
      <c r="E96" s="10">
        <v>-1.3259296498366899</v>
      </c>
      <c r="F96" s="10">
        <v>0.37895580165236198</v>
      </c>
      <c r="G96" s="10">
        <v>0.62738146259352001</v>
      </c>
      <c r="H96" s="2" t="s">
        <v>2</v>
      </c>
      <c r="I96" s="4">
        <v>41</v>
      </c>
    </row>
    <row r="97" spans="1:9" x14ac:dyDescent="0.2">
      <c r="A97" s="7">
        <v>1674.4899622546</v>
      </c>
      <c r="B97" s="10">
        <f>A97/1000</f>
        <v>1.6744899622545999</v>
      </c>
      <c r="C97" s="10">
        <v>59.3430600733112</v>
      </c>
      <c r="D97" s="10">
        <v>193.51741535719901</v>
      </c>
      <c r="E97" s="10">
        <v>-0.590595392793825</v>
      </c>
      <c r="F97" s="10">
        <v>0.27004340685399397</v>
      </c>
      <c r="G97" s="10">
        <v>0.56826353181012035</v>
      </c>
      <c r="H97" s="2" t="s">
        <v>2</v>
      </c>
      <c r="I97" s="4">
        <v>75</v>
      </c>
    </row>
    <row r="98" spans="1:9" x14ac:dyDescent="0.2">
      <c r="A98" s="7">
        <v>1712.3774776994401</v>
      </c>
      <c r="B98" s="10">
        <f>A98/1000</f>
        <v>1.71237747769944</v>
      </c>
      <c r="C98" s="10">
        <v>59.3430600733112</v>
      </c>
      <c r="D98" s="10">
        <v>197.48838435479101</v>
      </c>
      <c r="E98" s="10">
        <v>1.6482020606778398E-2</v>
      </c>
      <c r="F98" s="10">
        <v>0.242862494316993</v>
      </c>
      <c r="G98" s="10">
        <v>0.55586166547610694</v>
      </c>
      <c r="H98" s="2" t="s">
        <v>2</v>
      </c>
      <c r="I98" s="4">
        <v>76</v>
      </c>
    </row>
    <row r="99" spans="1:9" x14ac:dyDescent="0.2">
      <c r="A99" s="7">
        <v>1833.2346104774199</v>
      </c>
      <c r="B99" s="10">
        <f>A99/1000</f>
        <v>1.83323461047742</v>
      </c>
      <c r="C99" s="10">
        <v>61.828991696401097</v>
      </c>
      <c r="D99" s="10">
        <v>210.92152278164099</v>
      </c>
      <c r="E99" s="10">
        <v>-0.86615374092457997</v>
      </c>
      <c r="F99" s="10">
        <v>0.32139199471991903</v>
      </c>
      <c r="G99" s="10">
        <v>0.59438439941678178</v>
      </c>
      <c r="H99" s="2" t="s">
        <v>2</v>
      </c>
      <c r="I99" s="4">
        <v>77</v>
      </c>
    </row>
    <row r="100" spans="1:9" x14ac:dyDescent="0.2">
      <c r="A100" s="7">
        <v>1847.39318065565</v>
      </c>
      <c r="B100" s="10">
        <f>A100/1000</f>
        <v>1.8473931806556501</v>
      </c>
      <c r="C100" s="10">
        <v>61.828991696401097</v>
      </c>
      <c r="D100" s="10">
        <v>212.411038173121</v>
      </c>
      <c r="E100" s="10">
        <v>-0.74898337492068701</v>
      </c>
      <c r="F100" s="10">
        <v>0.30939128298910701</v>
      </c>
      <c r="G100" s="10">
        <v>0.58798211366473185</v>
      </c>
      <c r="H100" s="2" t="s">
        <v>2</v>
      </c>
      <c r="I100" s="4">
        <v>60</v>
      </c>
    </row>
    <row r="101" spans="1:9" x14ac:dyDescent="0.2">
      <c r="A101" s="7">
        <v>1871.43036907548</v>
      </c>
      <c r="B101" s="10">
        <f>A101/1000</f>
        <v>1.8714303690754801</v>
      </c>
      <c r="C101" s="10">
        <v>59.3430600733112</v>
      </c>
      <c r="D101" s="10">
        <v>214.240153699232</v>
      </c>
      <c r="E101" s="10">
        <v>-0.50949122193899599</v>
      </c>
      <c r="F101" s="10">
        <v>0.263352571802623</v>
      </c>
      <c r="G101" s="10">
        <v>0.56511465834382291</v>
      </c>
      <c r="H101" s="2" t="s">
        <v>2</v>
      </c>
      <c r="I101" s="4">
        <v>72</v>
      </c>
    </row>
    <row r="102" spans="1:9" x14ac:dyDescent="0.2">
      <c r="A102" s="7">
        <v>1871.7609318832499</v>
      </c>
      <c r="B102" s="10">
        <f>A102/1000</f>
        <v>1.87176093188325</v>
      </c>
      <c r="C102" s="10">
        <v>59.3430600733112</v>
      </c>
      <c r="D102" s="10">
        <v>214.275093071898</v>
      </c>
      <c r="E102" s="10">
        <v>-0.21943901481535899</v>
      </c>
      <c r="F102" s="10">
        <v>0.24677411556860199</v>
      </c>
      <c r="G102" s="10">
        <v>0.55758180037969829</v>
      </c>
      <c r="H102" s="2" t="s">
        <v>2</v>
      </c>
      <c r="I102" s="4">
        <v>70</v>
      </c>
    </row>
    <row r="103" spans="1:9" x14ac:dyDescent="0.2">
      <c r="A103" s="7">
        <v>1900</v>
      </c>
      <c r="B103" s="10">
        <f>A103/1000</f>
        <v>1.9</v>
      </c>
      <c r="C103" s="10">
        <v>90.909090909090907</v>
      </c>
      <c r="D103" s="10">
        <v>227.91547294976999</v>
      </c>
      <c r="E103" s="10">
        <v>-0.97</v>
      </c>
      <c r="F103" s="10">
        <v>0.36339903824894398</v>
      </c>
      <c r="G103" s="10">
        <v>0.61810910121131324</v>
      </c>
      <c r="H103" s="2" t="s">
        <v>2</v>
      </c>
      <c r="I103" s="4">
        <v>130</v>
      </c>
    </row>
    <row r="104" spans="1:9" x14ac:dyDescent="0.2">
      <c r="A104" s="7">
        <v>1926.6562712921</v>
      </c>
      <c r="B104" s="10">
        <f>A104/1000</f>
        <v>1.9266562712921</v>
      </c>
      <c r="C104" s="10">
        <v>59.3430600733112</v>
      </c>
      <c r="D104" s="10">
        <v>220.08373831372799</v>
      </c>
      <c r="E104" s="10">
        <v>-0.35851374725170998</v>
      </c>
      <c r="F104" s="10">
        <v>0.25320467836214799</v>
      </c>
      <c r="G104" s="10">
        <v>0.56045749985567939</v>
      </c>
      <c r="H104" s="2" t="s">
        <v>2</v>
      </c>
      <c r="I104" s="4">
        <v>71</v>
      </c>
    </row>
    <row r="105" spans="1:9" x14ac:dyDescent="0.2">
      <c r="A105" s="7">
        <v>1970</v>
      </c>
      <c r="B105" s="10">
        <f>A105/1000</f>
        <v>1.97</v>
      </c>
      <c r="C105" s="10">
        <v>90.909090909090907</v>
      </c>
      <c r="D105" s="10">
        <v>234.996495314116</v>
      </c>
      <c r="E105" s="10">
        <v>-1.1200000000000001</v>
      </c>
      <c r="F105" s="10">
        <v>0.38026156918660298</v>
      </c>
      <c r="G105" s="10">
        <v>0.62817104438222693</v>
      </c>
      <c r="H105" s="2" t="s">
        <v>2</v>
      </c>
      <c r="I105" s="4">
        <v>137</v>
      </c>
    </row>
    <row r="106" spans="1:9" x14ac:dyDescent="0.2">
      <c r="A106" s="7">
        <v>1983.72236931253</v>
      </c>
      <c r="B106" s="10">
        <f>A106/1000</f>
        <v>1.9837223693125299</v>
      </c>
      <c r="C106" s="10">
        <v>61.828991696401097</v>
      </c>
      <c r="D106" s="10">
        <v>226.79989620847601</v>
      </c>
      <c r="E106" s="10">
        <v>-0.37405524463352002</v>
      </c>
      <c r="F106" s="10">
        <v>0.28085693011719698</v>
      </c>
      <c r="G106" s="10">
        <v>0.57348113761034558</v>
      </c>
      <c r="H106" s="2" t="s">
        <v>2</v>
      </c>
      <c r="I106" s="4">
        <v>51</v>
      </c>
    </row>
    <row r="107" spans="1:9" x14ac:dyDescent="0.2">
      <c r="A107" s="7">
        <v>2008.8826578032199</v>
      </c>
      <c r="B107" s="10">
        <f>A107/1000</f>
        <v>2.0088826578032197</v>
      </c>
      <c r="C107" s="10">
        <v>61.828991696401097</v>
      </c>
      <c r="D107" s="10">
        <v>229.46393956643001</v>
      </c>
      <c r="E107" s="10">
        <v>-1.3058572125735901</v>
      </c>
      <c r="F107" s="10">
        <v>0.37615747305956998</v>
      </c>
      <c r="G107" s="10">
        <v>0.62569516902287259</v>
      </c>
      <c r="H107" s="2" t="s">
        <v>2</v>
      </c>
      <c r="I107" s="4">
        <v>58</v>
      </c>
    </row>
    <row r="108" spans="1:9" x14ac:dyDescent="0.2">
      <c r="A108" s="7">
        <v>2010</v>
      </c>
      <c r="B108" s="10">
        <f>A108/1000</f>
        <v>2.0099999999999998</v>
      </c>
      <c r="C108" s="10">
        <v>90.909090909090907</v>
      </c>
      <c r="D108" s="10">
        <v>239.05997743226999</v>
      </c>
      <c r="E108" s="10">
        <v>-0.63</v>
      </c>
      <c r="F108" s="10">
        <v>0.33211272333389702</v>
      </c>
      <c r="G108" s="10">
        <v>0.60024899916639396</v>
      </c>
      <c r="H108" s="2" t="s">
        <v>2</v>
      </c>
      <c r="I108" s="4">
        <v>139</v>
      </c>
    </row>
    <row r="109" spans="1:9" x14ac:dyDescent="0.2">
      <c r="A109" s="7">
        <v>2015.5950392316799</v>
      </c>
      <c r="B109" s="10">
        <f>A109/1000</f>
        <v>2.0155950392316799</v>
      </c>
      <c r="C109" s="10">
        <v>61.828991696401097</v>
      </c>
      <c r="D109" s="10">
        <v>230.175078791158</v>
      </c>
      <c r="E109" s="10">
        <v>-0.573959156925263</v>
      </c>
      <c r="F109" s="10">
        <v>0.29404266137089202</v>
      </c>
      <c r="G109" s="10">
        <v>0.58005265856306276</v>
      </c>
      <c r="H109" s="2" t="s">
        <v>2</v>
      </c>
      <c r="I109" s="4">
        <v>50</v>
      </c>
    </row>
    <row r="110" spans="1:9" x14ac:dyDescent="0.2">
      <c r="A110" s="7">
        <v>2080.41959469427</v>
      </c>
      <c r="B110" s="10">
        <f>A110/1000</f>
        <v>2.0804195946942698</v>
      </c>
      <c r="C110" s="10">
        <v>61.828991696401097</v>
      </c>
      <c r="D110" s="10">
        <v>237.051443916815</v>
      </c>
      <c r="E110" s="10">
        <v>-0.77854090072326798</v>
      </c>
      <c r="F110" s="10">
        <v>0.31229626881745198</v>
      </c>
      <c r="G110" s="10">
        <v>0.58951586875783268</v>
      </c>
      <c r="H110" s="2" t="s">
        <v>2</v>
      </c>
      <c r="I110" s="4">
        <v>52</v>
      </c>
    </row>
    <row r="111" spans="1:9" x14ac:dyDescent="0.2">
      <c r="A111" s="7">
        <v>2171.7415372645601</v>
      </c>
      <c r="B111" s="10">
        <f>A111/1000</f>
        <v>2.1717415372645599</v>
      </c>
      <c r="C111" s="10">
        <v>59.3430600733112</v>
      </c>
      <c r="D111" s="10">
        <v>246.15194609325201</v>
      </c>
      <c r="E111" s="10">
        <v>-0.27155832313618999</v>
      </c>
      <c r="F111" s="10">
        <v>0.24883946990042</v>
      </c>
      <c r="G111" s="10">
        <v>0.55849895414434036</v>
      </c>
      <c r="H111" s="2" t="s">
        <v>2</v>
      </c>
      <c r="I111" s="4">
        <v>62</v>
      </c>
    </row>
    <row r="112" spans="1:9" x14ac:dyDescent="0.2">
      <c r="A112" s="7">
        <v>2206.7579916218801</v>
      </c>
      <c r="B112" s="10">
        <f>A112/1000</f>
        <v>2.2067579916218802</v>
      </c>
      <c r="C112" s="10">
        <v>59.3430600733112</v>
      </c>
      <c r="D112" s="10">
        <v>249.891870346491</v>
      </c>
      <c r="E112" s="10">
        <v>-5.2496644857624702E-2</v>
      </c>
      <c r="F112" s="10">
        <v>0.24306698824520101</v>
      </c>
      <c r="G112" s="10">
        <v>0.55595104170654519</v>
      </c>
      <c r="H112" s="2" t="s">
        <v>2</v>
      </c>
      <c r="I112" s="4">
        <v>79</v>
      </c>
    </row>
    <row r="113" spans="1:9" x14ac:dyDescent="0.2">
      <c r="A113" s="7">
        <v>2260</v>
      </c>
      <c r="B113" s="10">
        <f>A113/1000</f>
        <v>2.2599999999999998</v>
      </c>
      <c r="C113" s="10">
        <v>90.909090909090907</v>
      </c>
      <c r="D113" s="10">
        <v>264.70062865417901</v>
      </c>
      <c r="E113" s="10">
        <v>-0.53</v>
      </c>
      <c r="F113" s="10">
        <v>0.32505208967219001</v>
      </c>
      <c r="G113" s="10">
        <v>0.59637141195756316</v>
      </c>
      <c r="H113" s="2" t="s">
        <v>2</v>
      </c>
      <c r="I113" s="4">
        <v>131</v>
      </c>
    </row>
    <row r="114" spans="1:9" x14ac:dyDescent="0.2">
      <c r="A114" s="7">
        <v>2299.2041718109899</v>
      </c>
      <c r="B114" s="10">
        <f>A114/1000</f>
        <v>2.2992041718109899</v>
      </c>
      <c r="C114" s="10">
        <v>61.828991696401097</v>
      </c>
      <c r="D114" s="10">
        <v>260.36039652880697</v>
      </c>
      <c r="E114" s="10">
        <v>-0.78434109482761205</v>
      </c>
      <c r="F114" s="10">
        <v>0.312876269913136</v>
      </c>
      <c r="G114" s="10">
        <v>0.58982332971387075</v>
      </c>
      <c r="H114" s="2" t="s">
        <v>2</v>
      </c>
      <c r="I114" s="4">
        <v>35</v>
      </c>
    </row>
    <row r="115" spans="1:9" x14ac:dyDescent="0.2">
      <c r="A115" s="7">
        <v>2561.5732666767999</v>
      </c>
      <c r="B115" s="10">
        <f>A115/1000</f>
        <v>2.5615732666767999</v>
      </c>
      <c r="C115" s="10">
        <v>53.234254365441501</v>
      </c>
      <c r="D115" s="10">
        <v>286.75763774403498</v>
      </c>
      <c r="E115" s="10">
        <v>-0.13074354054054599</v>
      </c>
      <c r="F115" s="10">
        <v>0.25065519158946897</v>
      </c>
      <c r="G115" s="10">
        <v>0.55931031196532877</v>
      </c>
      <c r="H115" s="2" t="s">
        <v>2</v>
      </c>
      <c r="I115" s="4">
        <v>97</v>
      </c>
    </row>
    <row r="116" spans="1:9" x14ac:dyDescent="0.2">
      <c r="A116" s="7">
        <v>2575.6824658023402</v>
      </c>
      <c r="B116" s="10">
        <f>A116/1000</f>
        <v>2.5756824658023403</v>
      </c>
      <c r="C116" s="10">
        <v>59.3430600733112</v>
      </c>
      <c r="D116" s="10">
        <v>289.473133072878</v>
      </c>
      <c r="E116" s="10">
        <v>0.28702518433632002</v>
      </c>
      <c r="F116" s="10">
        <v>0.249532889863185</v>
      </c>
      <c r="G116" s="10">
        <v>0.55880825255491029</v>
      </c>
      <c r="H116" s="2" t="s">
        <v>2</v>
      </c>
      <c r="I116" s="4">
        <v>98</v>
      </c>
    </row>
    <row r="117" spans="1:9" x14ac:dyDescent="0.2">
      <c r="A117" s="7">
        <v>2674.51253894107</v>
      </c>
      <c r="B117" s="10">
        <f>A117/1000</f>
        <v>2.67451253894107</v>
      </c>
      <c r="C117" s="10">
        <v>61.828991696401097</v>
      </c>
      <c r="D117" s="10">
        <v>300.62324227798001</v>
      </c>
      <c r="E117" s="10">
        <v>-0.28691535797409401</v>
      </c>
      <c r="F117" s="10">
        <v>0.27672502427319201</v>
      </c>
      <c r="G117" s="10">
        <v>0.5714689309656289</v>
      </c>
      <c r="H117" s="2" t="s">
        <v>2</v>
      </c>
      <c r="I117" s="4">
        <v>48</v>
      </c>
    </row>
    <row r="118" spans="1:9" x14ac:dyDescent="0.2">
      <c r="A118" s="7">
        <v>2684.4022310854102</v>
      </c>
      <c r="B118" s="10">
        <f>A118/1000</f>
        <v>2.6844022310854103</v>
      </c>
      <c r="C118" s="10">
        <v>61.828991696401097</v>
      </c>
      <c r="D118" s="10">
        <v>301.68793447384598</v>
      </c>
      <c r="E118" s="10">
        <v>0.62521022065764598</v>
      </c>
      <c r="F118" s="10">
        <v>0.29819361990816301</v>
      </c>
      <c r="G118" s="10">
        <v>0.58216787523353952</v>
      </c>
      <c r="H118" s="2" t="s">
        <v>2</v>
      </c>
      <c r="I118" s="4">
        <v>80</v>
      </c>
    </row>
    <row r="119" spans="1:9" x14ac:dyDescent="0.2">
      <c r="A119" s="7">
        <v>2690</v>
      </c>
      <c r="B119" s="10">
        <f>A119/1000</f>
        <v>2.69</v>
      </c>
      <c r="C119" s="10">
        <v>90.909090909090907</v>
      </c>
      <c r="D119" s="10">
        <v>309.55011356792801</v>
      </c>
      <c r="E119" s="10">
        <v>-0.31</v>
      </c>
      <c r="F119" s="10">
        <v>0.31347545517991898</v>
      </c>
      <c r="G119" s="10">
        <v>0.59014139068553506</v>
      </c>
      <c r="H119" s="2" t="s">
        <v>2</v>
      </c>
      <c r="I119" s="4">
        <v>140</v>
      </c>
    </row>
    <row r="120" spans="1:9" x14ac:dyDescent="0.2">
      <c r="A120" s="7">
        <v>2848.48362058776</v>
      </c>
      <c r="B120" s="10">
        <f>A120/1000</f>
        <v>2.8484836205877602</v>
      </c>
      <c r="C120" s="10">
        <v>53.234254365441501</v>
      </c>
      <c r="D120" s="10">
        <v>317.82318822358002</v>
      </c>
      <c r="E120" s="10">
        <v>0.494749904639047</v>
      </c>
      <c r="F120" s="10">
        <v>0.26820769724346899</v>
      </c>
      <c r="G120" s="10">
        <v>0.56739348679786972</v>
      </c>
      <c r="H120" s="2" t="s">
        <v>2</v>
      </c>
      <c r="I120" s="4">
        <v>81</v>
      </c>
    </row>
    <row r="121" spans="1:9" x14ac:dyDescent="0.2">
      <c r="A121" s="7">
        <v>2867.6741631518998</v>
      </c>
      <c r="B121" s="10">
        <f>A121/1000</f>
        <v>2.8676741631519</v>
      </c>
      <c r="C121" s="10">
        <v>59.3430600733112</v>
      </c>
      <c r="D121" s="10">
        <v>320.97759355066103</v>
      </c>
      <c r="E121" s="10">
        <v>0.22905546102980301</v>
      </c>
      <c r="F121" s="10">
        <v>0.24712341255907599</v>
      </c>
      <c r="G121" s="10">
        <v>0.55773647992115716</v>
      </c>
      <c r="H121" s="2" t="s">
        <v>2</v>
      </c>
      <c r="I121" s="4">
        <v>49</v>
      </c>
    </row>
    <row r="122" spans="1:9" x14ac:dyDescent="0.2">
      <c r="A122" s="7">
        <v>2890.9967877511699</v>
      </c>
      <c r="B122" s="10">
        <f>A122/1000</f>
        <v>2.89099678775117</v>
      </c>
      <c r="C122" s="10">
        <v>59.3430600733112</v>
      </c>
      <c r="D122" s="10">
        <v>323.49920269298099</v>
      </c>
      <c r="E122" s="10">
        <v>1.03445620633891</v>
      </c>
      <c r="F122" s="10">
        <v>0.319022429586171</v>
      </c>
      <c r="G122" s="10">
        <v>0.59310649176944896</v>
      </c>
      <c r="H122" s="2" t="s">
        <v>2</v>
      </c>
      <c r="I122" s="4">
        <v>83</v>
      </c>
    </row>
    <row r="123" spans="1:9" x14ac:dyDescent="0.2">
      <c r="A123" s="7">
        <v>2895.4580083444498</v>
      </c>
      <c r="B123" s="10">
        <f>A123/1000</f>
        <v>2.8954580083444497</v>
      </c>
      <c r="C123" s="10">
        <v>59.3430600733112</v>
      </c>
      <c r="D123" s="10">
        <v>323.98162204622798</v>
      </c>
      <c r="E123" s="10">
        <v>1.3759576675031999</v>
      </c>
      <c r="F123" s="10">
        <v>0.367017308823677</v>
      </c>
      <c r="G123" s="10">
        <v>0.62024326274146202</v>
      </c>
      <c r="H123" s="2" t="s">
        <v>2</v>
      </c>
      <c r="I123" s="4">
        <v>84</v>
      </c>
    </row>
    <row r="124" spans="1:9" x14ac:dyDescent="0.2">
      <c r="A124" s="7">
        <v>3064.9777778322</v>
      </c>
      <c r="B124" s="10">
        <f>A124/1000</f>
        <v>3.0649777778321998</v>
      </c>
      <c r="C124" s="10">
        <v>61.828991696401097</v>
      </c>
      <c r="D124" s="10">
        <v>342.77003724846901</v>
      </c>
      <c r="E124" s="10">
        <v>0.22896230872415699</v>
      </c>
      <c r="F124" s="10">
        <v>0.27455577157654898</v>
      </c>
      <c r="G124" s="10">
        <v>0.57042166132256422</v>
      </c>
      <c r="H124" s="2" t="s">
        <v>2</v>
      </c>
      <c r="I124" s="4">
        <v>82</v>
      </c>
    </row>
  </sheetData>
  <sortState xmlns:xlrd2="http://schemas.microsoft.com/office/spreadsheetml/2017/richdata2" ref="A2:I124">
    <sortCondition ref="B1:B1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Bartlein</dc:creator>
  <cp:lastModifiedBy>Patrick Bartlein</cp:lastModifiedBy>
  <dcterms:created xsi:type="dcterms:W3CDTF">2026-03-28T22:51:18Z</dcterms:created>
  <dcterms:modified xsi:type="dcterms:W3CDTF">2026-03-28T23:10:11Z</dcterms:modified>
</cp:coreProperties>
</file>